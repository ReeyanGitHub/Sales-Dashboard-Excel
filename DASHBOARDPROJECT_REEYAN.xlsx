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slicers/slicer8.xml" ContentType="application/vnd.ms-excel.slicer+xml"/>
  <Override PartName="/xl/timelines/timeline8.xml" ContentType="application/vnd.ms-excel.timelin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timelines/timeline9.xml" ContentType="application/vnd.ms-excel.timelin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reeyanos/Downloads/"/>
    </mc:Choice>
  </mc:AlternateContent>
  <xr:revisionPtr revIDLastSave="0" documentId="8_{560A21FB-BC53-F04D-91CE-F104C2224F83}" xr6:coauthVersionLast="47" xr6:coauthVersionMax="47" xr10:uidLastSave="{00000000-0000-0000-0000-000000000000}"/>
  <bookViews>
    <workbookView xWindow="0" yWindow="720" windowWidth="29400" windowHeight="18400" activeTab="5" xr2:uid="{8E0097F6-70AC-434E-AE97-6ED3F5BB88F6}"/>
  </bookViews>
  <sheets>
    <sheet name="About" sheetId="7" state="hidden" r:id="rId1"/>
    <sheet name="salesman" sheetId="6" state="hidden" r:id="rId2"/>
    <sheet name="Products" sheetId="4" state="hidden" r:id="rId3"/>
    <sheet name="Pivot" sheetId="13" state="hidden" r:id="rId4"/>
    <sheet name="Data" sheetId="1" state="hidden" r:id="rId5"/>
    <sheet name="DASHBOARD" sheetId="11" r:id="rId6"/>
    <sheet name="PRODUCTSS" sheetId="14" r:id="rId7"/>
    <sheet name="SALESMANn" sheetId="15" r:id="rId8"/>
    <sheet name="ABOUTt" sheetId="16" r:id="rId9"/>
    <sheet name="Pivot Tables" sheetId="3" state="hidden" r:id="rId10"/>
  </sheets>
  <definedNames>
    <definedName name="NativeTimeline_Date2">#N/A</definedName>
    <definedName name="Slicer_Item">#N/A</definedName>
    <definedName name="Slicer_Item2">#N/A</definedName>
    <definedName name="Slicer_Region">#N/A</definedName>
    <definedName name="Slicer_Region2">#N/A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60" i="13"/>
  <c r="B56" i="13"/>
  <c r="B19" i="3"/>
  <c r="C15" i="3"/>
</calcChain>
</file>

<file path=xl/sharedStrings.xml><?xml version="1.0" encoding="utf-8"?>
<sst xmlns="http://schemas.openxmlformats.org/spreadsheetml/2006/main" count="1263" uniqueCount="42">
  <si>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</si>
  <si>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</si>
  <si>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</si>
  <si>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</si>
  <si>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</si>
  <si>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</si>
  <si>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</si>
  <si>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</si>
  <si>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</si>
  <si>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</si>
  <si>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</si>
  <si>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</si>
  <si>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</si>
  <si>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</si>
  <si>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</si>
  <si>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</si>
  <si>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</si>
  <si>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</si>
  <si>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</si>
  <si>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</si>
  <si>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</si>
  <si>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</si>
  <si>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</si>
  <si>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</si>
  <si>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</si>
  <si>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</si>
  <si>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</si>
  <si>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</si>
  <si>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</si>
  <si>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</si>
  <si>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</si>
  <si>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</si>
  <si>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</si>
  <si>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</si>
  <si>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</si>
  <si>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</si>
  <si>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</si>
  <si>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</si>
  <si>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Feb</t>
  </si>
  <si>
    <t>Mar</t>
  </si>
  <si>
    <t>Jan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</si>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</sst>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0" fontId="0" fillId="0" borderId="0" xfId="0" applyNumberFormat="1"/>
    <xf numFmtId="1" fontId="0" fillId="0" borderId="0" xfId="0" applyNumberFormat="1"/>
    <xf numFmtId="1" fontId="0" fillId="0" borderId="0" xfId="0" pivotButton="1" applyNumberFormat="1"/>
    <xf numFmtId="1" fontId="0" fillId="0" borderId="0" xfId="0" applyNumberFormat="1" applyAlignment="1">
      <alignment horizontal="left"/>
    </xf>
  </cellXfs>
  <cellStyles count="1">
    <cellStyle name="Normal" xfId="0" builtinId="0"/>
  </cellStyles>
  <dxfs count="392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287030</c:v>
                </c:pt>
                <c:pt idx="1">
                  <c:v>133690</c:v>
                </c:pt>
                <c:pt idx="2">
                  <c:v>100400</c:v>
                </c:pt>
                <c:pt idx="3">
                  <c:v>97280</c:v>
                </c:pt>
                <c:pt idx="4">
                  <c:v>314010</c:v>
                </c:pt>
                <c:pt idx="5">
                  <c:v>432560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287030</c:v>
                </c:pt>
                <c:pt idx="1">
                  <c:v>314010</c:v>
                </c:pt>
                <c:pt idx="2">
                  <c:v>432560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Chandu</c:v>
                </c:pt>
                <c:pt idx="2">
                  <c:v>Ramesh</c:v>
                </c:pt>
              </c:strCache>
            </c:strRef>
          </c:cat>
          <c:val>
            <c:numRef>
              <c:f>'Pivot Tables'!$B$112:$B$115</c:f>
              <c:numCache>
                <c:formatCode>General</c:formatCode>
                <c:ptCount val="3"/>
                <c:pt idx="0">
                  <c:v>133690</c:v>
                </c:pt>
                <c:pt idx="1">
                  <c:v>100400</c:v>
                </c:pt>
                <c:pt idx="2">
                  <c:v>97280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Tables'!$A$62:$A$66</c:f>
              <c:strCache>
                <c:ptCount val="4"/>
                <c:pt idx="0">
                  <c:v>Keyboard</c:v>
                </c:pt>
                <c:pt idx="1">
                  <c:v>Monitor</c:v>
                </c:pt>
                <c:pt idx="2">
                  <c:v>Mouse</c:v>
                </c:pt>
                <c:pt idx="3">
                  <c:v>Printer</c:v>
                </c:pt>
              </c:strCache>
            </c:strRef>
          </c:cat>
          <c:val>
            <c:numRef>
              <c:f>'Pivot Tables'!$B$62:$B$66</c:f>
              <c:numCache>
                <c:formatCode>General</c:formatCode>
                <c:ptCount val="4"/>
                <c:pt idx="0">
                  <c:v>132</c:v>
                </c:pt>
                <c:pt idx="1">
                  <c:v>251</c:v>
                </c:pt>
                <c:pt idx="2">
                  <c:v>319</c:v>
                </c:pt>
                <c:pt idx="3">
                  <c:v>445</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242</c:v>
                </c:pt>
                <c:pt idx="1">
                  <c:v>319</c:v>
                </c:pt>
                <c:pt idx="2">
                  <c:v>445</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Tables'!$A$85:$A$86</c:f>
              <c:strCache>
                <c:ptCount val="1"/>
                <c:pt idx="0">
                  <c:v>Mouse</c:v>
                </c:pt>
              </c:strCache>
            </c:strRef>
          </c:cat>
          <c:val>
            <c:numRef>
              <c:f>'Pivot Tables'!$B$85:$B$86</c:f>
              <c:numCache>
                <c:formatCode>General</c:formatCode>
                <c:ptCount val="1"/>
                <c:pt idx="0">
                  <c:v>319</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[DASHBOARDPROJECT_REEYAN.xlsx]Pivot!PivotTable2</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22229536420487"/>
          <c:y val="9.2783505154639179E-2"/>
          <c:w val="0.59749424006886598"/>
          <c:h val="0.59491435993181263"/>
        </c:manualLayout>
      </c:layout>
      <c:lineChart>
        <c:grouping val="stacked"/>
        <c:varyColors val="0"/>
        <c:ser>
          <c:idx val="0"/>
          <c:order val="0"/>
          <c:tx>
            <c:strRef>
              <c:f>Pivot!$B$3</c:f>
              <c:strCache>
                <c:ptCount val="1"/>
                <c:pt idx="0">
                  <c:v>Total</c:v>
                </c:pt>
              </c:strCache>
            </c:strRef>
          </c:tx>
          <c:spPr>
            <a:ln w="28575" cap="rnd">
              <a:solidFill>
                <a:schemeClr val="accent2"/>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0</c:formatCode>
                <c:ptCount val="12"/>
                <c:pt idx="0">
                  <c:v>11700</c:v>
                </c:pt>
                <c:pt idx="1">
                  <c:v>10710</c:v>
                </c:pt>
                <c:pt idx="2">
                  <c:v>4410</c:v>
                </c:pt>
                <c:pt idx="3">
                  <c:v>2880</c:v>
                </c:pt>
                <c:pt idx="4">
                  <c:v>3930</c:v>
                </c:pt>
                <c:pt idx="5">
                  <c:v>7200</c:v>
                </c:pt>
                <c:pt idx="6">
                  <c:v>5490</c:v>
                </c:pt>
                <c:pt idx="7">
                  <c:v>4770</c:v>
                </c:pt>
                <c:pt idx="8">
                  <c:v>2730</c:v>
                </c:pt>
                <c:pt idx="9">
                  <c:v>1890</c:v>
                </c:pt>
                <c:pt idx="10">
                  <c:v>6510</c:v>
                </c:pt>
                <c:pt idx="11">
                  <c:v>3930</c:v>
                </c:pt>
              </c:numCache>
            </c:numRef>
          </c:val>
          <c:smooth val="0"/>
          <c:extLst>
            <c:ext xmlns:c16="http://schemas.microsoft.com/office/drawing/2014/chart" uri="{C3380CC4-5D6E-409C-BE32-E72D297353CC}">
              <c16:uniqueId val="{00000000-2700-E34D-8C4A-7707E78B2E48}"/>
            </c:ext>
          </c:extLst>
        </c:ser>
        <c:dLbls>
          <c:showLegendKey val="0"/>
          <c:showVal val="0"/>
          <c:showCatName val="0"/>
          <c:showSerName val="0"/>
          <c:showPercent val="0"/>
          <c:showBubbleSize val="0"/>
        </c:dLbls>
        <c:smooth val="0"/>
        <c:axId val="270497248"/>
        <c:axId val="1309541167"/>
      </c:lineChart>
      <c:catAx>
        <c:axId val="27049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541167"/>
        <c:crosses val="autoZero"/>
        <c:auto val="1"/>
        <c:lblAlgn val="ctr"/>
        <c:lblOffset val="100"/>
        <c:noMultiLvlLbl val="0"/>
      </c:catAx>
      <c:valAx>
        <c:axId val="13095411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49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[DASHBOARDPROJECT_REEYAN.xlsx]Pivot!PivotTable3</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905E-3"/>
              <c:y val="-0.421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8798E-3"/>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905E-3"/>
              <c:y val="-0.421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8798E-3"/>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905E-3"/>
              <c:y val="-0.421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8798E-3"/>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2.7777777777777905E-3"/>
                  <c:y val="-0.421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64-5143-B4B0-31A7973F0792}"/>
                </c:ext>
              </c:extLst>
            </c:dLbl>
            <c:dLbl>
              <c:idx val="1"/>
              <c:layout>
                <c:manualLayout>
                  <c:x val="-2.7777777777777779E-3"/>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64-5143-B4B0-31A7973F0792}"/>
                </c:ext>
              </c:extLst>
            </c:dLbl>
            <c:dLbl>
              <c:idx val="2"/>
              <c:layout>
                <c:manualLayout>
                  <c:x val="-2.7777777777778798E-3"/>
                  <c:y val="-0.21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64-5143-B4B0-31A7973F0792}"/>
                </c:ext>
              </c:extLst>
            </c:dLbl>
            <c:dLbl>
              <c:idx val="3"/>
              <c:layout>
                <c:manualLayout>
                  <c:x val="2.7777777777777779E-3"/>
                  <c:y val="-0.296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64-5143-B4B0-31A7973F07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Pivot!$A$30:$A$34</c:f>
              <c:strCache>
                <c:ptCount val="4"/>
                <c:pt idx="0">
                  <c:v>East</c:v>
                </c:pt>
                <c:pt idx="1">
                  <c:v>North</c:v>
                </c:pt>
                <c:pt idx="2">
                  <c:v>South</c:v>
                </c:pt>
                <c:pt idx="3">
                  <c:v>West</c:v>
                </c:pt>
              </c:strCache>
            </c:strRef>
          </c:cat>
          <c:val>
            <c:numRef>
              <c:f>Pivot!$B$30:$B$34</c:f>
              <c:numCache>
                <c:formatCode>0</c:formatCode>
                <c:ptCount val="4"/>
                <c:pt idx="0">
                  <c:v>34950</c:v>
                </c:pt>
                <c:pt idx="1">
                  <c:v>9180</c:v>
                </c:pt>
                <c:pt idx="2">
                  <c:v>7080</c:v>
                </c:pt>
                <c:pt idx="3">
                  <c:v>14940</c:v>
                </c:pt>
              </c:numCache>
            </c:numRef>
          </c:val>
          <c:extLst>
            <c:ext xmlns:c16="http://schemas.microsoft.com/office/drawing/2014/chart" uri="{C3380CC4-5D6E-409C-BE32-E72D297353CC}">
              <c16:uniqueId val="{00000004-FB64-5143-B4B0-31A7973F0792}"/>
            </c:ext>
          </c:extLst>
        </c:ser>
        <c:dLbls>
          <c:showLegendKey val="0"/>
          <c:showVal val="0"/>
          <c:showCatName val="0"/>
          <c:showSerName val="0"/>
          <c:showPercent val="0"/>
          <c:showBubbleSize val="0"/>
        </c:dLbls>
        <c:gapWidth val="150"/>
        <c:overlap val="100"/>
        <c:axId val="1292766751"/>
        <c:axId val="1292415919"/>
      </c:barChart>
      <c:catAx>
        <c:axId val="1292766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415919"/>
        <c:crosses val="autoZero"/>
        <c:auto val="1"/>
        <c:lblAlgn val="ctr"/>
        <c:lblOffset val="100"/>
        <c:noMultiLvlLbl val="0"/>
      </c:catAx>
      <c:valAx>
        <c:axId val="1292415919"/>
        <c:scaling>
          <c:orientation val="minMax"/>
        </c:scaling>
        <c:delete val="1"/>
        <c:axPos val="l"/>
        <c:numFmt formatCode="0" sourceLinked="1"/>
        <c:majorTickMark val="none"/>
        <c:minorTickMark val="none"/>
        <c:tickLblPos val="nextTo"/>
        <c:crossAx val="12927667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Pivot!$A$45:$A$46</c:f>
              <c:strCache>
                <c:ptCount val="1"/>
                <c:pt idx="0">
                  <c:v>Mouse</c:v>
                </c:pt>
              </c:strCache>
            </c:strRef>
          </c:cat>
          <c:val>
            <c:numRef>
              <c:f>Pivot!$B$45:$B$46</c:f>
              <c:numCache>
                <c:formatCode>0.00%</c:formatCode>
                <c:ptCount val="1"/>
                <c:pt idx="0">
                  <c:v>1</c:v>
                </c:pt>
              </c:numCache>
            </c:numRef>
          </c:val>
          <c:extLst>
            <c:ext xmlns:c16="http://schemas.microsoft.com/office/drawing/2014/chart" uri="{C3380CC4-5D6E-409C-BE32-E72D297353CC}">
              <c16:uniqueId val="{00000000-9161-2F43-8C89-8C69E6A36B9B}"/>
            </c:ext>
          </c:extLst>
        </c:ser>
        <c:dLbls>
          <c:showLegendKey val="0"/>
          <c:showVal val="0"/>
          <c:showCatName val="0"/>
          <c:showSerName val="0"/>
          <c:showPercent val="0"/>
          <c:showBubbleSize val="0"/>
        </c:dLbls>
        <c:gapWidth val="182"/>
        <c:axId val="275768336"/>
        <c:axId val="275712496"/>
      </c:barChart>
      <c:catAx>
        <c:axId val="27576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12496"/>
        <c:crosses val="autoZero"/>
        <c:auto val="1"/>
        <c:lblAlgn val="ctr"/>
        <c:lblOffset val="100"/>
        <c:noMultiLvlLbl val="0"/>
      </c:catAx>
      <c:valAx>
        <c:axId val="275712496"/>
        <c:scaling>
          <c:orientation val="minMax"/>
        </c:scaling>
        <c:delete val="1"/>
        <c:axPos val="b"/>
        <c:numFmt formatCode="0.00%" sourceLinked="1"/>
        <c:majorTickMark val="none"/>
        <c:minorTickMark val="none"/>
        <c:tickLblPos val="nextTo"/>
        <c:crossAx val="2757683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[DASHBOARDPROJECT_REEYAN.xlsx]Pivot!PivotTable7</c:name>
    <c:fmtId val="1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Pivot!$A$63:$A$66</c:f>
              <c:strCache>
                <c:ptCount val="3"/>
                <c:pt idx="0">
                  <c:v>Monitor</c:v>
                </c:pt>
                <c:pt idx="1">
                  <c:v>Mouse</c:v>
                </c:pt>
                <c:pt idx="2">
                  <c:v>Printer</c:v>
                </c:pt>
              </c:strCache>
            </c:strRef>
          </c:cat>
          <c:val>
            <c:numRef>
              <c:f>Pivot!$B$63:$B$66</c:f>
              <c:numCache>
                <c:formatCode>0</c:formatCode>
                <c:ptCount val="3"/>
                <c:pt idx="0">
                  <c:v>251</c:v>
                </c:pt>
                <c:pt idx="1">
                  <c:v>319</c:v>
                </c:pt>
                <c:pt idx="2">
                  <c:v>445</c:v>
                </c:pt>
              </c:numCache>
            </c:numRef>
          </c:val>
          <c:extLst>
            <c:ext xmlns:c16="http://schemas.microsoft.com/office/drawing/2014/chart" uri="{C3380CC4-5D6E-409C-BE32-E72D297353CC}">
              <c16:uniqueId val="{00000002-87EA-FA45-99EA-6F12486BB9A7}"/>
            </c:ext>
          </c:extLst>
        </c:ser>
        <c:dLbls>
          <c:showLegendKey val="0"/>
          <c:showVal val="0"/>
          <c:showCatName val="0"/>
          <c:showSerName val="0"/>
          <c:showPercent val="0"/>
          <c:showBubbleSize val="0"/>
        </c:dLbls>
        <c:gapWidth val="182"/>
        <c:axId val="1917623391"/>
        <c:axId val="1917539503"/>
      </c:barChart>
      <c:catAx>
        <c:axId val="1917623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539503"/>
        <c:crosses val="autoZero"/>
        <c:auto val="1"/>
        <c:lblAlgn val="ctr"/>
        <c:lblOffset val="100"/>
        <c:noMultiLvlLbl val="0"/>
      </c:catAx>
      <c:valAx>
        <c:axId val="1917539503"/>
        <c:scaling>
          <c:orientation val="minMax"/>
        </c:scaling>
        <c:delete val="1"/>
        <c:axPos val="b"/>
        <c:numFmt formatCode="0" sourceLinked="1"/>
        <c:majorTickMark val="none"/>
        <c:minorTickMark val="none"/>
        <c:tickLblPos val="nextTo"/>
        <c:crossAx val="1917623391"/>
        <c:crosses val="autoZero"/>
        <c:crossBetween val="between"/>
      </c:valAx>
      <c:spPr>
        <a:noFill/>
        <a:ln w="25400">
          <a:noFill/>
        </a:ln>
        <a:effectLst/>
      </c:spPr>
    </c:plotArea>
    <c:plotVisOnly val="1"/>
    <c:dispBlanksAs val="gap"/>
    <c:showDLblsOverMax val="0"/>
    <c:extLst/>
  </c:chart>
  <c:spPr>
    <a:solidFill>
      <a:schemeClr val="bg1"/>
    </a:solid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Pivot!$A$69:$A$72</c:f>
              <c:strCache>
                <c:ptCount val="3"/>
                <c:pt idx="0">
                  <c:v>Scanner</c:v>
                </c:pt>
                <c:pt idx="1">
                  <c:v>Speaker</c:v>
                </c:pt>
                <c:pt idx="2">
                  <c:v>Keyboard</c:v>
                </c:pt>
              </c:strCache>
            </c:strRef>
          </c:cat>
          <c:val>
            <c:numRef>
              <c:f>Pivot!$B$69:$B$72</c:f>
              <c:numCache>
                <c:formatCode>0</c:formatCode>
                <c:ptCount val="3"/>
                <c:pt idx="0">
                  <c:v>242</c:v>
                </c:pt>
                <c:pt idx="1">
                  <c:v>218</c:v>
                </c:pt>
                <c:pt idx="2">
                  <c:v>132</c:v>
                </c:pt>
              </c:numCache>
            </c:numRef>
          </c:val>
          <c:extLst>
            <c:ext xmlns:c16="http://schemas.microsoft.com/office/drawing/2014/chart" uri="{C3380CC4-5D6E-409C-BE32-E72D297353CC}">
              <c16:uniqueId val="{00000000-8854-8F4F-ACA4-013A71E4280B}"/>
            </c:ext>
          </c:extLst>
        </c:ser>
        <c:dLbls>
          <c:showLegendKey val="0"/>
          <c:showVal val="0"/>
          <c:showCatName val="0"/>
          <c:showSerName val="0"/>
          <c:showPercent val="0"/>
          <c:showBubbleSize val="0"/>
        </c:dLbls>
        <c:gapWidth val="182"/>
        <c:axId val="1917623391"/>
        <c:axId val="1917539503"/>
      </c:barChart>
      <c:catAx>
        <c:axId val="1917623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539503"/>
        <c:crosses val="autoZero"/>
        <c:auto val="1"/>
        <c:lblAlgn val="ctr"/>
        <c:lblOffset val="100"/>
        <c:noMultiLvlLbl val="0"/>
      </c:catAx>
      <c:valAx>
        <c:axId val="1917539503"/>
        <c:scaling>
          <c:orientation val="minMax"/>
        </c:scaling>
        <c:delete val="1"/>
        <c:axPos val="b"/>
        <c:numFmt formatCode="0" sourceLinked="1"/>
        <c:majorTickMark val="none"/>
        <c:minorTickMark val="none"/>
        <c:tickLblPos val="nextTo"/>
        <c:crossAx val="19176233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[DASHBOARDPROJECT_REEYAN.xlsx]Pivot!PivotTable9</c:name>
    <c:fmtId val="23"/>
  </c:pivotSource>
  <c:chart>
    <c:autoTitleDeleted val="1"/>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Pivot!$B$75</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Pivot!$A$76:$A$82</c:f>
              <c:strCache>
                <c:ptCount val="6"/>
                <c:pt idx="0">
                  <c:v>Keyboard</c:v>
                </c:pt>
                <c:pt idx="1">
                  <c:v>Monitor</c:v>
                </c:pt>
                <c:pt idx="2">
                  <c:v>Mouse</c:v>
                </c:pt>
                <c:pt idx="3">
                  <c:v>Printer</c:v>
                </c:pt>
                <c:pt idx="4">
                  <c:v>Scanner</c:v>
                </c:pt>
                <c:pt idx="5">
                  <c:v>Speaker</c:v>
                </c:pt>
              </c:strCache>
            </c:strRef>
          </c:cat>
          <c:val>
            <c:numRef>
              <c:f>Pivot!$B$76:$B$82</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38DC-324B-9590-78B881F13AD3}"/>
            </c:ext>
          </c:extLst>
        </c:ser>
        <c:dLbls>
          <c:showLegendKey val="0"/>
          <c:showVal val="0"/>
          <c:showCatName val="0"/>
          <c:showSerName val="0"/>
          <c:showPercent val="0"/>
          <c:showBubbleSize val="0"/>
        </c:dLbls>
        <c:gapWidth val="164"/>
        <c:overlap val="-35"/>
        <c:axId val="1327160015"/>
        <c:axId val="1326676303"/>
      </c:barChart>
      <c:catAx>
        <c:axId val="132716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26676303"/>
        <c:crosses val="autoZero"/>
        <c:auto val="1"/>
        <c:lblAlgn val="ctr"/>
        <c:lblOffset val="100"/>
        <c:noMultiLvlLbl val="0"/>
      </c:catAx>
      <c:valAx>
        <c:axId val="1326676303"/>
        <c:scaling>
          <c:orientation val="minMax"/>
        </c:scaling>
        <c:delete val="1"/>
        <c:axPos val="l"/>
        <c:numFmt formatCode="0" sourceLinked="1"/>
        <c:majorTickMark val="none"/>
        <c:minorTickMark val="none"/>
        <c:tickLblPos val="nextTo"/>
        <c:crossAx val="132716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[DASHBOARDPROJECT_REEYAN.xlsx]Pivot!PivotTable13</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1"/>
          <c:order val="0"/>
          <c:tx>
            <c:strRef>
              <c:f>Pivot!$E$84</c:f>
              <c:strCache>
                <c:ptCount val="1"/>
                <c:pt idx="0">
                  <c:v>Total</c:v>
                </c:pt>
              </c:strCache>
            </c:strRef>
          </c:tx>
          <c:invertIfNegative val="0"/>
          <c:cat>
            <c:strRef>
              <c:f>Pivot!$D$85:$D$88</c:f>
              <c:strCache>
                <c:ptCount val="3"/>
                <c:pt idx="0">
                  <c:v>Ajit Kumar</c:v>
                </c:pt>
                <c:pt idx="1">
                  <c:v>Siddhu</c:v>
                </c:pt>
                <c:pt idx="2">
                  <c:v>Rohit Das</c:v>
                </c:pt>
              </c:strCache>
            </c:strRef>
          </c:cat>
          <c:val>
            <c:numRef>
              <c:f>Pivot!$E$85:$E$88</c:f>
              <c:numCache>
                <c:formatCode>0</c:formatCode>
                <c:ptCount val="3"/>
                <c:pt idx="0">
                  <c:v>110</c:v>
                </c:pt>
                <c:pt idx="1">
                  <c:v>70</c:v>
                </c:pt>
                <c:pt idx="2">
                  <c:v>57</c:v>
                </c:pt>
              </c:numCache>
            </c:numRef>
          </c:val>
          <c:extLst>
            <c:ext xmlns:c16="http://schemas.microsoft.com/office/drawing/2014/chart" uri="{C3380CC4-5D6E-409C-BE32-E72D297353CC}">
              <c16:uniqueId val="{00000004-7735-3A4A-8438-DB4D4EC0387A}"/>
            </c:ext>
          </c:extLst>
        </c:ser>
        <c:dLbls>
          <c:showLegendKey val="0"/>
          <c:showVal val="0"/>
          <c:showCatName val="0"/>
          <c:showSerName val="0"/>
          <c:showPercent val="0"/>
          <c:showBubbleSize val="0"/>
        </c:dLbls>
        <c:gapWidth val="182"/>
        <c:axId val="1911596095"/>
        <c:axId val="190909824"/>
      </c:barChart>
      <c:catAx>
        <c:axId val="191159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09824"/>
        <c:crosses val="autoZero"/>
        <c:auto val="1"/>
        <c:lblAlgn val="ctr"/>
        <c:lblOffset val="100"/>
        <c:noMultiLvlLbl val="0"/>
      </c:catAx>
      <c:valAx>
        <c:axId val="190909824"/>
        <c:scaling>
          <c:orientation val="minMax"/>
        </c:scaling>
        <c:delete val="1"/>
        <c:axPos val="b"/>
        <c:numFmt formatCode="0" sourceLinked="1"/>
        <c:majorTickMark val="none"/>
        <c:minorTickMark val="none"/>
        <c:tickLblPos val="nextTo"/>
        <c:crossAx val="1911596095"/>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Pivot!$A$91:$A$94</c:f>
              <c:strCache>
                <c:ptCount val="3"/>
                <c:pt idx="0">
                  <c:v>Amit</c:v>
                </c:pt>
                <c:pt idx="1">
                  <c:v>Ramesh</c:v>
                </c:pt>
                <c:pt idx="2">
                  <c:v>Chandu</c:v>
                </c:pt>
              </c:strCache>
            </c:strRef>
          </c:cat>
          <c:val>
            <c:numRef>
              <c:f>Pivot!$B$91:$B$94</c:f>
              <c:numCache>
                <c:formatCode>0</c:formatCode>
                <c:ptCount val="3"/>
                <c:pt idx="0">
                  <c:v>16</c:v>
                </c:pt>
                <c:pt idx="1">
                  <c:v>28</c:v>
                </c:pt>
                <c:pt idx="2">
                  <c:v>38</c:v>
                </c:pt>
              </c:numCache>
            </c:numRef>
          </c:val>
          <c:extLst>
            <c:ext xmlns:c16="http://schemas.microsoft.com/office/drawing/2014/chart" uri="{C3380CC4-5D6E-409C-BE32-E72D297353CC}">
              <c16:uniqueId val="{00000000-27E0-1B43-99F6-C4C301C45DD0}"/>
            </c:ext>
          </c:extLst>
        </c:ser>
        <c:dLbls>
          <c:showLegendKey val="0"/>
          <c:showVal val="0"/>
          <c:showCatName val="0"/>
          <c:showSerName val="0"/>
          <c:showPercent val="0"/>
          <c:showBubbleSize val="0"/>
        </c:dLbls>
        <c:gapWidth val="182"/>
        <c:axId val="1918787391"/>
        <c:axId val="844359887"/>
      </c:barChart>
      <c:catAx>
        <c:axId val="191878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359887"/>
        <c:crosses val="autoZero"/>
        <c:auto val="1"/>
        <c:lblAlgn val="ctr"/>
        <c:lblOffset val="100"/>
        <c:noMultiLvlLbl val="0"/>
      </c:catAx>
      <c:valAx>
        <c:axId val="844359887"/>
        <c:scaling>
          <c:orientation val="minMax"/>
        </c:scaling>
        <c:delete val="1"/>
        <c:axPos val="b"/>
        <c:numFmt formatCode="0" sourceLinked="1"/>
        <c:majorTickMark val="none"/>
        <c:minorTickMark val="none"/>
        <c:tickLblPos val="nextTo"/>
        <c:crossAx val="191878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[DASHBOARDPROJECT_REEYAN.xlsx]Pivot!PivotTable12</c:name>
    <c:fmtId val="40"/>
  </c:pivotSource>
  <c:chart>
    <c:autoTitleDeleted val="1"/>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Pivot!$B$96</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Pivot!$A$97:$A$103</c:f>
              <c:strCache>
                <c:ptCount val="6"/>
                <c:pt idx="0">
                  <c:v>Ajit Kumar</c:v>
                </c:pt>
                <c:pt idx="1">
                  <c:v>Amit</c:v>
                </c:pt>
                <c:pt idx="2">
                  <c:v>Chandu</c:v>
                </c:pt>
                <c:pt idx="3">
                  <c:v>Ramesh</c:v>
                </c:pt>
                <c:pt idx="4">
                  <c:v>Rohit Das</c:v>
                </c:pt>
                <c:pt idx="5">
                  <c:v>Siddhu</c:v>
                </c:pt>
              </c:strCache>
            </c:strRef>
          </c:cat>
          <c:val>
            <c:numRef>
              <c:f>Pivot!$B$97:$B$103</c:f>
              <c:numCache>
                <c:formatCode>0</c:formatCode>
                <c:ptCount val="6"/>
                <c:pt idx="0">
                  <c:v>23040</c:v>
                </c:pt>
                <c:pt idx="1">
                  <c:v>3300</c:v>
                </c:pt>
                <c:pt idx="2">
                  <c:v>7800</c:v>
                </c:pt>
                <c:pt idx="3">
                  <c:v>5760</c:v>
                </c:pt>
                <c:pt idx="4">
                  <c:v>11730</c:v>
                </c:pt>
                <c:pt idx="5">
                  <c:v>14520</c:v>
                </c:pt>
              </c:numCache>
            </c:numRef>
          </c:val>
          <c:extLst>
            <c:ext xmlns:c16="http://schemas.microsoft.com/office/drawing/2014/chart" uri="{C3380CC4-5D6E-409C-BE32-E72D297353CC}">
              <c16:uniqueId val="{00000000-E17D-5646-B4AD-054173B34550}"/>
            </c:ext>
          </c:extLst>
        </c:ser>
        <c:dLbls>
          <c:showLegendKey val="0"/>
          <c:showVal val="0"/>
          <c:showCatName val="0"/>
          <c:showSerName val="0"/>
          <c:showPercent val="0"/>
          <c:showBubbleSize val="0"/>
        </c:dLbls>
        <c:gapWidth val="164"/>
        <c:overlap val="-35"/>
        <c:axId val="1850071359"/>
        <c:axId val="1507986095"/>
      </c:barChart>
      <c:catAx>
        <c:axId val="1850071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07986095"/>
        <c:crosses val="autoZero"/>
        <c:auto val="1"/>
        <c:lblAlgn val="ctr"/>
        <c:lblOffset val="100"/>
        <c:noMultiLvlLbl val="0"/>
      </c:catAx>
      <c:valAx>
        <c:axId val="1507986095"/>
        <c:scaling>
          <c:orientation val="minMax"/>
        </c:scaling>
        <c:delete val="1"/>
        <c:axPos val="l"/>
        <c:numFmt formatCode="0" sourceLinked="1"/>
        <c:majorTickMark val="none"/>
        <c:minorTickMark val="none"/>
        <c:tickLblPos val="nextTo"/>
        <c:crossAx val="185007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104430</c:v>
                </c:pt>
                <c:pt idx="1">
                  <c:v>217570</c:v>
                </c:pt>
                <c:pt idx="2">
                  <c:v>54900</c:v>
                </c:pt>
                <c:pt idx="3">
                  <c:v>137630</c:v>
                </c:pt>
                <c:pt idx="4">
                  <c:v>69360</c:v>
                </c:pt>
                <c:pt idx="5">
                  <c:v>87330</c:v>
                </c:pt>
                <c:pt idx="6">
                  <c:v>92000</c:v>
                </c:pt>
                <c:pt idx="7">
                  <c:v>115500</c:v>
                </c:pt>
                <c:pt idx="8">
                  <c:v>191070</c:v>
                </c:pt>
                <c:pt idx="9">
                  <c:v>126550</c:v>
                </c:pt>
                <c:pt idx="10">
                  <c:v>30620</c:v>
                </c:pt>
                <c:pt idx="11">
                  <c:v>138010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[DASHBOARDPROJECT_REEYAN.xlsx]Pivot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287030</c:v>
                </c:pt>
                <c:pt idx="1">
                  <c:v>314010</c:v>
                </c:pt>
                <c:pt idx="2">
                  <c:v>432560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5.xml.rels><?xml version="1.0" encoding="UTF-8" standalone="yes"?>
<Relationships xmlns="http://schemas.openxmlformats.org/package/2006/relationships"><Relationship Id="rId8" Type="http://schemas.openxmlformats.org/officeDocument/2006/relationships/hyperlink" Target="#PRODUCTSS!A1"/><Relationship Id="rId13" Type="http://schemas.openxmlformats.org/officeDocument/2006/relationships/chart" Target="../charts/chart9.xml"/><Relationship Id="rId3" Type="http://schemas.openxmlformats.org/officeDocument/2006/relationships/image" Target="../media/image6.svg"/><Relationship Id="rId7" Type="http://schemas.openxmlformats.org/officeDocument/2006/relationships/image" Target="../media/image10.svg"/><Relationship Id="rId12" Type="http://schemas.openxmlformats.org/officeDocument/2006/relationships/chart" Target="../charts/chart8.xml"/><Relationship Id="rId2" Type="http://schemas.openxmlformats.org/officeDocument/2006/relationships/image" Target="../media/image5.png"/><Relationship Id="rId1" Type="http://schemas.openxmlformats.org/officeDocument/2006/relationships/hyperlink" Target="#DASHBOARD!A1"/><Relationship Id="rId6" Type="http://schemas.openxmlformats.org/officeDocument/2006/relationships/image" Target="../media/image9.png"/><Relationship Id="rId11" Type="http://schemas.openxmlformats.org/officeDocument/2006/relationships/chart" Target="../charts/chart7.xml"/><Relationship Id="rId5" Type="http://schemas.openxmlformats.org/officeDocument/2006/relationships/image" Target="../media/image8.svg"/><Relationship Id="rId10" Type="http://schemas.openxmlformats.org/officeDocument/2006/relationships/hyperlink" Target="#ABOUTt!A1"/><Relationship Id="rId4" Type="http://schemas.openxmlformats.org/officeDocument/2006/relationships/image" Target="../media/image7.png"/><Relationship Id="rId9" Type="http://schemas.openxmlformats.org/officeDocument/2006/relationships/hyperlink" Target="#SALESMANn!A1"/></Relationships>
</file>

<file path=xl/drawings/_rels/drawing6.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6.svg"/><Relationship Id="rId7" Type="http://schemas.openxmlformats.org/officeDocument/2006/relationships/chart" Target="../charts/chart10.xml"/><Relationship Id="rId2" Type="http://schemas.openxmlformats.org/officeDocument/2006/relationships/image" Target="../media/image5.png"/><Relationship Id="rId1" Type="http://schemas.openxmlformats.org/officeDocument/2006/relationships/hyperlink" Target="#PRODUCTSS!A1"/><Relationship Id="rId6" Type="http://schemas.openxmlformats.org/officeDocument/2006/relationships/hyperlink" Target="#ABOUTt!A1"/><Relationship Id="rId5" Type="http://schemas.openxmlformats.org/officeDocument/2006/relationships/hyperlink" Target="#SALESMANn!A1"/><Relationship Id="rId4" Type="http://schemas.openxmlformats.org/officeDocument/2006/relationships/hyperlink" Target="#DASHBOARD!A1"/><Relationship Id="rId9"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6.svg"/><Relationship Id="rId7" Type="http://schemas.openxmlformats.org/officeDocument/2006/relationships/chart" Target="../charts/chart13.xml"/><Relationship Id="rId2" Type="http://schemas.openxmlformats.org/officeDocument/2006/relationships/image" Target="../media/image5.png"/><Relationship Id="rId1" Type="http://schemas.openxmlformats.org/officeDocument/2006/relationships/hyperlink" Target="#SALESMANn!A1"/><Relationship Id="rId6" Type="http://schemas.openxmlformats.org/officeDocument/2006/relationships/hyperlink" Target="#ABOUTt!A1"/><Relationship Id="rId5" Type="http://schemas.openxmlformats.org/officeDocument/2006/relationships/hyperlink" Target="#PRODUCTSS!A1"/><Relationship Id="rId4" Type="http://schemas.openxmlformats.org/officeDocument/2006/relationships/hyperlink" Target="#DASHBOARD!A1"/><Relationship Id="rId9"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6.svg"/><Relationship Id="rId1" Type="http://schemas.openxmlformats.org/officeDocument/2006/relationships/image" Target="../media/image5.png"/><Relationship Id="rId5" Type="http://schemas.openxmlformats.org/officeDocument/2006/relationships/hyperlink" Target="#SALESMANn!A1"/><Relationship Id="rId4" Type="http://schemas.openxmlformats.org/officeDocument/2006/relationships/hyperlink" Target="#PRODUCTSS!A1"/></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76200</xdr:colOff>
      <xdr:row>4</xdr:row>
      <xdr:rowOff>228601</xdr:rowOff>
    </xdr:from>
    <xdr:to>
      <xdr:col>7</xdr:col>
      <xdr:colOff>139700</xdr:colOff>
      <xdr:row>9</xdr:row>
      <xdr:rowOff>63501</xdr:rowOff>
    </xdr:to>
    <mc:AlternateContent xmlns:mc="http://schemas.openxmlformats.org/markup-compatibility/2006">
      <mc:Choice xmlns:a14="http://schemas.microsoft.com/office/drawing/2010/main" Requires="a14">
        <xdr:graphicFrame macro="">
          <xdr:nvGraphicFramePr>
            <xdr:cNvPr id="4" name="Region 6">
              <a:extLst>
                <a:ext uri="{FF2B5EF4-FFF2-40B4-BE49-F238E27FC236}">
                  <a16:creationId xmlns:a16="http://schemas.microsoft.com/office/drawing/2014/main" id="{FB9FEBB0-9E37-4615-B24C-2678D9ABB203}"/>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dr:sp macro="" textlink="">
          <xdr:nvSpPr>
            <xdr:cNvPr id="0" name=""/>
            <xdr:cNvSpPr>
              <a:spLocks noTextEdit="1"/>
            </xdr:cNvSpPr>
          </xdr:nvSpPr>
          <xdr:spPr>
            <a:xfrm>
              <a:off x="5753100" y="1193801"/>
              <a:ext cx="196850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165100</xdr:colOff>
      <xdr:row>6</xdr:row>
      <xdr:rowOff>88901</xdr:rowOff>
    </xdr:from>
    <xdr:to>
      <xdr:col>14</xdr:col>
      <xdr:colOff>0</xdr:colOff>
      <xdr:row>9</xdr:row>
      <xdr:rowOff>139701</xdr:rowOff>
    </xdr:to>
    <mc:AlternateContent xmlns:mc="http://schemas.openxmlformats.org/markup-compatibility/2006">
      <mc:Choice xmlns:a14="http://schemas.microsoft.com/office/drawing/2010/main" Requires="a14">
        <xdr:graphicFrame macro="">
          <xdr:nvGraphicFramePr>
            <xdr:cNvPr id="5" name="Item 6">
              <a:extLst>
                <a:ext uri="{FF2B5EF4-FFF2-40B4-BE49-F238E27FC236}">
                  <a16:creationId xmlns:a16="http://schemas.microsoft.com/office/drawing/2014/main" id="{F6C8190F-2AE9-2319-15B3-6C3FA00D8284}"/>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dr:sp macro="" textlink="">
          <xdr:nvSpPr>
            <xdr:cNvPr id="0" name=""/>
            <xdr:cNvSpPr>
              <a:spLocks noTextEdit="1"/>
            </xdr:cNvSpPr>
          </xdr:nvSpPr>
          <xdr:spPr>
            <a:xfrm>
              <a:off x="8699500" y="1536701"/>
              <a:ext cx="5549900" cy="77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927100</xdr:colOff>
      <xdr:row>13</xdr:row>
      <xdr:rowOff>190500</xdr:rowOff>
    </xdr:from>
    <xdr:to>
      <xdr:col>9</xdr:col>
      <xdr:colOff>254000</xdr:colOff>
      <xdr:row>17</xdr:row>
      <xdr:rowOff>152400</xdr:rowOff>
    </xdr:to>
    <mc:AlternateContent xmlns:mc="http://schemas.openxmlformats.org/markup-compatibility/2006">
      <mc:Choice xmlns:tsle="http://schemas.microsoft.com/office/drawing/2012/timeslicer" Requires="tsle">
        <xdr:graphicFrame macro="">
          <xdr:nvGraphicFramePr>
            <xdr:cNvPr id="10" name="Date 1">
              <a:extLst>
                <a:ext uri="{FF2B5EF4-FFF2-40B4-BE49-F238E27FC236}">
                  <a16:creationId xmlns:a16="http://schemas.microsoft.com/office/drawing/2014/main" id="{4EF91465-0F8A-6402-C88A-94E4E42C5823}"/>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4559300" y="3327400"/>
              <a:ext cx="5181600" cy="927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152400</xdr:colOff>
      <xdr:row>1</xdr:row>
      <xdr:rowOff>38100</xdr:rowOff>
    </xdr:from>
    <xdr:to>
      <xdr:col>12</xdr:col>
      <xdr:colOff>609600</xdr:colOff>
      <xdr:row>28</xdr:row>
      <xdr:rowOff>228600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BBD0271-D04B-E0DE-C6AB-324C55A364F4}"/>
            </a:ext>
          </a:extLst>
        </xdr:cNvPr>
        <xdr:cNvSpPr/>
      </xdr:nvSpPr>
      <xdr:spPr>
        <a:xfrm>
          <a:off x="1104900" y="279400"/>
          <a:ext cx="10934700" cy="6705600"/>
        </a:xfrm>
        <a:prstGeom prst="roundRect">
          <a:avLst>
            <a:gd name="adj" fmla="val 43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63500</xdr:colOff>
      <xdr:row>1</xdr:row>
      <xdr:rowOff>38100</xdr:rowOff>
    </xdr:from>
    <xdr:to>
      <xdr:col>12</xdr:col>
      <xdr:colOff>596900</xdr:colOff>
      <xdr:row>28</xdr:row>
      <xdr:rowOff>228600</xdr:rowOff>
    </xdr:to>
    <xdr:sp macro="" textlink="">
      <xdr:nvSpPr>
        <xdr:cNvPr id="3" name="Rounded Rectangle 2">
          <a:extLst>
            <a:ext uri="{FF2B5EF4-FFF2-40B4-BE49-F238E27FC236}">
              <a16:creationId xmlns:a16="http://schemas.microsoft.com/office/drawing/2014/main" id="{CE7C9778-63F6-564C-AC81-E540F5B200C1}"/>
            </a:ext>
          </a:extLst>
        </xdr:cNvPr>
        <xdr:cNvSpPr/>
      </xdr:nvSpPr>
      <xdr:spPr>
        <a:xfrm>
          <a:off x="2921000" y="279400"/>
          <a:ext cx="9105900" cy="6705600"/>
        </a:xfrm>
        <a:prstGeom prst="roundRect">
          <a:avLst>
            <a:gd name="adj" fmla="val 435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419100</xdr:colOff>
      <xdr:row>10</xdr:row>
      <xdr:rowOff>127000</xdr:rowOff>
    </xdr:from>
    <xdr:to>
      <xdr:col>4</xdr:col>
      <xdr:colOff>0</xdr:colOff>
      <xdr:row>12</xdr:row>
      <xdr:rowOff>177800</xdr:rowOff>
    </xdr:to>
    <xdr:pic>
      <xdr:nvPicPr>
        <xdr:cNvPr id="10" name="Graphic 9" descr="Bar chart outline">
          <a:extLst>
            <a:ext uri="{FF2B5EF4-FFF2-40B4-BE49-F238E27FC236}">
              <a16:creationId xmlns:a16="http://schemas.microsoft.com/office/drawing/2014/main" id="{EDC9DEF6-B1A5-5B67-A39E-C01DD8BB246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76600" y="2540000"/>
          <a:ext cx="533400" cy="533400"/>
        </a:xfrm>
        <a:prstGeom prst="rect">
          <a:avLst/>
        </a:prstGeom>
      </xdr:spPr>
    </xdr:pic>
    <xdr:clientData/>
  </xdr:twoCellAnchor>
  <xdr:twoCellAnchor>
    <xdr:from>
      <xdr:col>8</xdr:col>
      <xdr:colOff>12700</xdr:colOff>
      <xdr:row>13</xdr:row>
      <xdr:rowOff>50800</xdr:rowOff>
    </xdr:from>
    <xdr:to>
      <xdr:col>12</xdr:col>
      <xdr:colOff>444500</xdr:colOff>
      <xdr:row>19</xdr:row>
      <xdr:rowOff>177800</xdr:rowOff>
    </xdr:to>
    <xdr:sp macro="" textlink="">
      <xdr:nvSpPr>
        <xdr:cNvPr id="12" name="Rounded Rectangle 11">
          <a:extLst>
            <a:ext uri="{FF2B5EF4-FFF2-40B4-BE49-F238E27FC236}">
              <a16:creationId xmlns:a16="http://schemas.microsoft.com/office/drawing/2014/main" id="{D52F4603-4678-B22F-C208-ED5591E4421A}"/>
            </a:ext>
          </a:extLst>
        </xdr:cNvPr>
        <xdr:cNvSpPr/>
      </xdr:nvSpPr>
      <xdr:spPr>
        <a:xfrm>
          <a:off x="7632700" y="3187700"/>
          <a:ext cx="4241800" cy="157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12700</xdr:colOff>
      <xdr:row>21</xdr:row>
      <xdr:rowOff>76200</xdr:rowOff>
    </xdr:from>
    <xdr:to>
      <xdr:col>12</xdr:col>
      <xdr:colOff>444500</xdr:colOff>
      <xdr:row>27</xdr:row>
      <xdr:rowOff>203200</xdr:rowOff>
    </xdr:to>
    <xdr:sp macro="" textlink="">
      <xdr:nvSpPr>
        <xdr:cNvPr id="13" name="Rounded Rectangle 12">
          <a:extLst>
            <a:ext uri="{FF2B5EF4-FFF2-40B4-BE49-F238E27FC236}">
              <a16:creationId xmlns:a16="http://schemas.microsoft.com/office/drawing/2014/main" id="{DD87C5F3-4F1E-734B-A653-9867E546DB91}"/>
            </a:ext>
          </a:extLst>
        </xdr:cNvPr>
        <xdr:cNvSpPr/>
      </xdr:nvSpPr>
      <xdr:spPr>
        <a:xfrm>
          <a:off x="7632700" y="5143500"/>
          <a:ext cx="4241800" cy="157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152400</xdr:colOff>
      <xdr:row>17</xdr:row>
      <xdr:rowOff>139700</xdr:rowOff>
    </xdr:from>
    <xdr:to>
      <xdr:col>7</xdr:col>
      <xdr:colOff>787400</xdr:colOff>
      <xdr:row>27</xdr:row>
      <xdr:rowOff>190500</xdr:rowOff>
    </xdr:to>
    <xdr:sp macro="" textlink="">
      <xdr:nvSpPr>
        <xdr:cNvPr id="14" name="Rounded Rectangle 13">
          <a:extLst>
            <a:ext uri="{FF2B5EF4-FFF2-40B4-BE49-F238E27FC236}">
              <a16:creationId xmlns:a16="http://schemas.microsoft.com/office/drawing/2014/main" id="{DFE8E6DF-3B87-BC43-8578-9796D6BE2F15}"/>
            </a:ext>
          </a:extLst>
        </xdr:cNvPr>
        <xdr:cNvSpPr/>
      </xdr:nvSpPr>
      <xdr:spPr>
        <a:xfrm>
          <a:off x="3009900" y="4241800"/>
          <a:ext cx="4445000" cy="2463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165100</xdr:colOff>
      <xdr:row>13</xdr:row>
      <xdr:rowOff>127000</xdr:rowOff>
    </xdr:from>
    <xdr:to>
      <xdr:col>5</xdr:col>
      <xdr:colOff>241300</xdr:colOff>
      <xdr:row>16</xdr:row>
      <xdr:rowOff>190500</xdr:rowOff>
    </xdr:to>
    <xdr:sp macro="" textlink="">
      <xdr:nvSpPr>
        <xdr:cNvPr id="15" name="Rounded Rectangle 14">
          <a:extLst>
            <a:ext uri="{FF2B5EF4-FFF2-40B4-BE49-F238E27FC236}">
              <a16:creationId xmlns:a16="http://schemas.microsoft.com/office/drawing/2014/main" id="{9AB2A9DD-453B-AE47-A43E-586076FC7C35}"/>
            </a:ext>
          </a:extLst>
        </xdr:cNvPr>
        <xdr:cNvSpPr/>
      </xdr:nvSpPr>
      <xdr:spPr>
        <a:xfrm>
          <a:off x="3022600" y="3263900"/>
          <a:ext cx="1981200" cy="78740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609600</xdr:colOff>
      <xdr:row>13</xdr:row>
      <xdr:rowOff>139700</xdr:rowOff>
    </xdr:from>
    <xdr:to>
      <xdr:col>7</xdr:col>
      <xdr:colOff>685800</xdr:colOff>
      <xdr:row>16</xdr:row>
      <xdr:rowOff>203200</xdr:rowOff>
    </xdr:to>
    <xdr:sp macro="" textlink="">
      <xdr:nvSpPr>
        <xdr:cNvPr id="16" name="Rounded Rectangle 15">
          <a:extLst>
            <a:ext uri="{FF2B5EF4-FFF2-40B4-BE49-F238E27FC236}">
              <a16:creationId xmlns:a16="http://schemas.microsoft.com/office/drawing/2014/main" id="{CC84B98A-D1AB-0F45-B46D-D656EEAE3E55}"/>
            </a:ext>
          </a:extLst>
        </xdr:cNvPr>
        <xdr:cNvSpPr/>
      </xdr:nvSpPr>
      <xdr:spPr>
        <a:xfrm>
          <a:off x="5372100" y="3276600"/>
          <a:ext cx="1981200" cy="7874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368300</xdr:colOff>
      <xdr:row>13</xdr:row>
      <xdr:rowOff>127000</xdr:rowOff>
    </xdr:from>
    <xdr:to>
      <xdr:col>5</xdr:col>
      <xdr:colOff>241300</xdr:colOff>
      <xdr:row>16</xdr:row>
      <xdr:rowOff>190500</xdr:rowOff>
    </xdr:to>
    <xdr:sp macro="" textlink="">
      <xdr:nvSpPr>
        <xdr:cNvPr id="17" name="Rounded Rectangle 16">
          <a:extLst>
            <a:ext uri="{FF2B5EF4-FFF2-40B4-BE49-F238E27FC236}">
              <a16:creationId xmlns:a16="http://schemas.microsoft.com/office/drawing/2014/main" id="{A5200563-5E68-3B4E-93E4-0CE63BE4591D}"/>
            </a:ext>
          </a:extLst>
        </xdr:cNvPr>
        <xdr:cNvSpPr/>
      </xdr:nvSpPr>
      <xdr:spPr>
        <a:xfrm>
          <a:off x="3225800" y="3263900"/>
          <a:ext cx="1778000" cy="787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812800</xdr:colOff>
      <xdr:row>13</xdr:row>
      <xdr:rowOff>139700</xdr:rowOff>
    </xdr:from>
    <xdr:to>
      <xdr:col>7</xdr:col>
      <xdr:colOff>685800</xdr:colOff>
      <xdr:row>16</xdr:row>
      <xdr:rowOff>203200</xdr:rowOff>
    </xdr:to>
    <xdr:sp macro="" textlink="">
      <xdr:nvSpPr>
        <xdr:cNvPr id="18" name="Rounded Rectangle 17">
          <a:extLst>
            <a:ext uri="{FF2B5EF4-FFF2-40B4-BE49-F238E27FC236}">
              <a16:creationId xmlns:a16="http://schemas.microsoft.com/office/drawing/2014/main" id="{3FD07574-9F62-7049-8C67-082F5B37E227}"/>
            </a:ext>
          </a:extLst>
        </xdr:cNvPr>
        <xdr:cNvSpPr/>
      </xdr:nvSpPr>
      <xdr:spPr>
        <a:xfrm>
          <a:off x="5575300" y="3276600"/>
          <a:ext cx="1778000" cy="787400"/>
        </a:xfrm>
        <a:prstGeom prst="roundRect">
          <a:avLst/>
        </a:prstGeom>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596900</xdr:colOff>
      <xdr:row>13</xdr:row>
      <xdr:rowOff>139700</xdr:rowOff>
    </xdr:from>
    <xdr:to>
      <xdr:col>5</xdr:col>
      <xdr:colOff>203200</xdr:colOff>
      <xdr:row>14</xdr:row>
      <xdr:rowOff>114300</xdr:rowOff>
    </xdr:to>
    <xdr:sp macro="" textlink="">
      <xdr:nvSpPr>
        <xdr:cNvPr id="19" name="TextBox 18">
          <a:extLst>
            <a:ext uri="{FF2B5EF4-FFF2-40B4-BE49-F238E27FC236}">
              <a16:creationId xmlns:a16="http://schemas.microsoft.com/office/drawing/2014/main" id="{CB77E545-DB24-8660-5F05-DB2A4825BEE9}"/>
            </a:ext>
          </a:extLst>
        </xdr:cNvPr>
        <xdr:cNvSpPr txBox="1"/>
      </xdr:nvSpPr>
      <xdr:spPr>
        <a:xfrm>
          <a:off x="3454400" y="3276600"/>
          <a:ext cx="15113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TOTAL AMOUNT</a:t>
          </a:r>
        </a:p>
      </xdr:txBody>
    </xdr:sp>
    <xdr:clientData/>
  </xdr:twoCellAnchor>
  <xdr:twoCellAnchor>
    <xdr:from>
      <xdr:col>6</xdr:col>
      <xdr:colOff>215900</xdr:colOff>
      <xdr:row>13</xdr:row>
      <xdr:rowOff>152400</xdr:rowOff>
    </xdr:from>
    <xdr:to>
      <xdr:col>7</xdr:col>
      <xdr:colOff>774700</xdr:colOff>
      <xdr:row>14</xdr:row>
      <xdr:rowOff>127000</xdr:rowOff>
    </xdr:to>
    <xdr:sp macro="" textlink="">
      <xdr:nvSpPr>
        <xdr:cNvPr id="20" name="TextBox 19">
          <a:extLst>
            <a:ext uri="{FF2B5EF4-FFF2-40B4-BE49-F238E27FC236}">
              <a16:creationId xmlns:a16="http://schemas.microsoft.com/office/drawing/2014/main" id="{6B5332A8-699D-8D43-BEDB-B91DFB759B9B}"/>
            </a:ext>
          </a:extLst>
        </xdr:cNvPr>
        <xdr:cNvSpPr txBox="1"/>
      </xdr:nvSpPr>
      <xdr:spPr>
        <a:xfrm>
          <a:off x="5930900" y="3289300"/>
          <a:ext cx="15113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TOTAL SALES</a:t>
          </a:r>
        </a:p>
      </xdr:txBody>
    </xdr:sp>
    <xdr:clientData/>
  </xdr:twoCellAnchor>
  <xdr:twoCellAnchor editAs="oneCell">
    <xdr:from>
      <xdr:col>3</xdr:col>
      <xdr:colOff>342900</xdr:colOff>
      <xdr:row>14</xdr:row>
      <xdr:rowOff>152400</xdr:rowOff>
    </xdr:from>
    <xdr:to>
      <xdr:col>3</xdr:col>
      <xdr:colOff>762000</xdr:colOff>
      <xdr:row>16</xdr:row>
      <xdr:rowOff>88900</xdr:rowOff>
    </xdr:to>
    <xdr:pic>
      <xdr:nvPicPr>
        <xdr:cNvPr id="22" name="Graphic 21" descr="Dollar with solid fill">
          <a:extLst>
            <a:ext uri="{FF2B5EF4-FFF2-40B4-BE49-F238E27FC236}">
              <a16:creationId xmlns:a16="http://schemas.microsoft.com/office/drawing/2014/main" id="{894E55F2-A0E0-4AFC-0FEB-94E6190C616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200400" y="3530600"/>
          <a:ext cx="419100" cy="419100"/>
        </a:xfrm>
        <a:prstGeom prst="rect">
          <a:avLst/>
        </a:prstGeom>
      </xdr:spPr>
    </xdr:pic>
    <xdr:clientData/>
  </xdr:twoCellAnchor>
  <xdr:twoCellAnchor editAs="oneCell">
    <xdr:from>
      <xdr:col>5</xdr:col>
      <xdr:colOff>850900</xdr:colOff>
      <xdr:row>14</xdr:row>
      <xdr:rowOff>152400</xdr:rowOff>
    </xdr:from>
    <xdr:to>
      <xdr:col>6</xdr:col>
      <xdr:colOff>355600</xdr:colOff>
      <xdr:row>16</xdr:row>
      <xdr:rowOff>127000</xdr:rowOff>
    </xdr:to>
    <xdr:pic>
      <xdr:nvPicPr>
        <xdr:cNvPr id="24" name="Graphic 23" descr="Upward trend with solid fill">
          <a:extLst>
            <a:ext uri="{FF2B5EF4-FFF2-40B4-BE49-F238E27FC236}">
              <a16:creationId xmlns:a16="http://schemas.microsoft.com/office/drawing/2014/main" id="{8AD85538-241A-9C4A-91D9-2FF7055DC60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13400" y="3530600"/>
          <a:ext cx="457200" cy="457200"/>
        </a:xfrm>
        <a:prstGeom prst="rect">
          <a:avLst/>
        </a:prstGeom>
      </xdr:spPr>
    </xdr:pic>
    <xdr:clientData/>
  </xdr:twoCellAnchor>
  <xdr:twoCellAnchor>
    <xdr:from>
      <xdr:col>8</xdr:col>
      <xdr:colOff>139700</xdr:colOff>
      <xdr:row>13</xdr:row>
      <xdr:rowOff>114300</xdr:rowOff>
    </xdr:from>
    <xdr:to>
      <xdr:col>9</xdr:col>
      <xdr:colOff>698500</xdr:colOff>
      <xdr:row>14</xdr:row>
      <xdr:rowOff>88900</xdr:rowOff>
    </xdr:to>
    <xdr:sp macro="" textlink="">
      <xdr:nvSpPr>
        <xdr:cNvPr id="25" name="TextBox 24">
          <a:extLst>
            <a:ext uri="{FF2B5EF4-FFF2-40B4-BE49-F238E27FC236}">
              <a16:creationId xmlns:a16="http://schemas.microsoft.com/office/drawing/2014/main" id="{5C256EFE-D742-0F46-87BD-157ED35F5680}"/>
            </a:ext>
          </a:extLst>
        </xdr:cNvPr>
        <xdr:cNvSpPr txBox="1"/>
      </xdr:nvSpPr>
      <xdr:spPr>
        <a:xfrm>
          <a:off x="7759700" y="3251200"/>
          <a:ext cx="15113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SALES BY</a:t>
          </a:r>
          <a:r>
            <a:rPr lang="en-US" sz="1100" b="1" baseline="0">
              <a:latin typeface="Times New Roman" panose="02020603050405020304" pitchFamily="18" charset="0"/>
              <a:cs typeface="Times New Roman" panose="02020603050405020304" pitchFamily="18" charset="0"/>
            </a:rPr>
            <a:t> MONTH</a:t>
          </a: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8</xdr:col>
      <xdr:colOff>228600</xdr:colOff>
      <xdr:row>21</xdr:row>
      <xdr:rowOff>127000</xdr:rowOff>
    </xdr:from>
    <xdr:to>
      <xdr:col>9</xdr:col>
      <xdr:colOff>787400</xdr:colOff>
      <xdr:row>22</xdr:row>
      <xdr:rowOff>101600</xdr:rowOff>
    </xdr:to>
    <xdr:sp macro="" textlink="">
      <xdr:nvSpPr>
        <xdr:cNvPr id="26" name="TextBox 25">
          <a:extLst>
            <a:ext uri="{FF2B5EF4-FFF2-40B4-BE49-F238E27FC236}">
              <a16:creationId xmlns:a16="http://schemas.microsoft.com/office/drawing/2014/main" id="{1892C23D-CEB5-4547-BD6A-28BE5916926D}"/>
            </a:ext>
          </a:extLst>
        </xdr:cNvPr>
        <xdr:cNvSpPr txBox="1"/>
      </xdr:nvSpPr>
      <xdr:spPr>
        <a:xfrm>
          <a:off x="7848600" y="5194300"/>
          <a:ext cx="15113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SALES</a:t>
          </a:r>
          <a:r>
            <a:rPr lang="en-US" sz="1100" b="1" baseline="0">
              <a:latin typeface="Times New Roman" panose="02020603050405020304" pitchFamily="18" charset="0"/>
              <a:cs typeface="Times New Roman" panose="02020603050405020304" pitchFamily="18" charset="0"/>
            </a:rPr>
            <a:t> BY REGION</a:t>
          </a: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9</xdr:row>
      <xdr:rowOff>215900</xdr:rowOff>
    </xdr:from>
    <xdr:to>
      <xdr:col>3</xdr:col>
      <xdr:colOff>38100</xdr:colOff>
      <xdr:row>11</xdr:row>
      <xdr:rowOff>228600</xdr:rowOff>
    </xdr:to>
    <xdr:sp macro="" textlink="">
      <xdr:nvSpPr>
        <xdr:cNvPr id="27" name="Rounded Rectangle 26">
          <a:extLst>
            <a:ext uri="{FF2B5EF4-FFF2-40B4-BE49-F238E27FC236}">
              <a16:creationId xmlns:a16="http://schemas.microsoft.com/office/drawing/2014/main" id="{89F74D21-0772-245C-503B-BFA0B9B064C4}"/>
            </a:ext>
          </a:extLst>
        </xdr:cNvPr>
        <xdr:cNvSpPr/>
      </xdr:nvSpPr>
      <xdr:spPr>
        <a:xfrm>
          <a:off x="1257300" y="2387600"/>
          <a:ext cx="1638300" cy="49530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75000"/>
                </a:schemeClr>
              </a:solidFill>
              <a:latin typeface="Times New Roman" panose="02020603050405020304" pitchFamily="18" charset="0"/>
              <a:cs typeface="Times New Roman" panose="02020603050405020304" pitchFamily="18" charset="0"/>
            </a:rPr>
            <a:t>DASHBOARD</a:t>
          </a:r>
        </a:p>
      </xdr:txBody>
    </xdr:sp>
    <xdr:clientData/>
  </xdr:twoCellAnchor>
  <xdr:twoCellAnchor>
    <xdr:from>
      <xdr:col>1</xdr:col>
      <xdr:colOff>279400</xdr:colOff>
      <xdr:row>12</xdr:row>
      <xdr:rowOff>152400</xdr:rowOff>
    </xdr:from>
    <xdr:to>
      <xdr:col>2</xdr:col>
      <xdr:colOff>939800</xdr:colOff>
      <xdr:row>14</xdr:row>
      <xdr:rowOff>165100</xdr:rowOff>
    </xdr:to>
    <xdr:sp macro="" textlink="">
      <xdr:nvSpPr>
        <xdr:cNvPr id="28" name="Rounded Rectangle 27">
          <a:hlinkClick xmlns:r="http://schemas.openxmlformats.org/officeDocument/2006/relationships" r:id="rId8"/>
          <a:extLst>
            <a:ext uri="{FF2B5EF4-FFF2-40B4-BE49-F238E27FC236}">
              <a16:creationId xmlns:a16="http://schemas.microsoft.com/office/drawing/2014/main" id="{9C930711-4E0A-624E-83F5-43CBF38E0B16}"/>
            </a:ext>
          </a:extLst>
        </xdr:cNvPr>
        <xdr:cNvSpPr/>
      </xdr:nvSpPr>
      <xdr:spPr>
        <a:xfrm>
          <a:off x="1231900" y="3048000"/>
          <a:ext cx="1612900" cy="49530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PRODUCTS</a:t>
          </a:r>
        </a:p>
      </xdr:txBody>
    </xdr:sp>
    <xdr:clientData/>
  </xdr:twoCellAnchor>
  <xdr:twoCellAnchor>
    <xdr:from>
      <xdr:col>1</xdr:col>
      <xdr:colOff>279400</xdr:colOff>
      <xdr:row>15</xdr:row>
      <xdr:rowOff>38100</xdr:rowOff>
    </xdr:from>
    <xdr:to>
      <xdr:col>2</xdr:col>
      <xdr:colOff>939800</xdr:colOff>
      <xdr:row>17</xdr:row>
      <xdr:rowOff>50800</xdr:rowOff>
    </xdr:to>
    <xdr:sp macro="" textlink="">
      <xdr:nvSpPr>
        <xdr:cNvPr id="29" name="Rounded Rectangle 28">
          <a:hlinkClick xmlns:r="http://schemas.openxmlformats.org/officeDocument/2006/relationships" r:id="rId9"/>
          <a:extLst>
            <a:ext uri="{FF2B5EF4-FFF2-40B4-BE49-F238E27FC236}">
              <a16:creationId xmlns:a16="http://schemas.microsoft.com/office/drawing/2014/main" id="{8D049888-0FF4-4A44-B1BA-8C0CAE3A61B5}"/>
            </a:ext>
          </a:extLst>
        </xdr:cNvPr>
        <xdr:cNvSpPr/>
      </xdr:nvSpPr>
      <xdr:spPr>
        <a:xfrm>
          <a:off x="1231900" y="3657600"/>
          <a:ext cx="1612900" cy="49530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SALESMAN</a:t>
          </a:r>
        </a:p>
      </xdr:txBody>
    </xdr:sp>
    <xdr:clientData/>
  </xdr:twoCellAnchor>
  <xdr:twoCellAnchor>
    <xdr:from>
      <xdr:col>1</xdr:col>
      <xdr:colOff>279400</xdr:colOff>
      <xdr:row>17</xdr:row>
      <xdr:rowOff>165100</xdr:rowOff>
    </xdr:from>
    <xdr:to>
      <xdr:col>2</xdr:col>
      <xdr:colOff>939800</xdr:colOff>
      <xdr:row>19</xdr:row>
      <xdr:rowOff>177800</xdr:rowOff>
    </xdr:to>
    <xdr:sp macro="" textlink="">
      <xdr:nvSpPr>
        <xdr:cNvPr id="30" name="Rounded Rectangle 29">
          <a:hlinkClick xmlns:r="http://schemas.openxmlformats.org/officeDocument/2006/relationships" r:id="rId10"/>
          <a:extLst>
            <a:ext uri="{FF2B5EF4-FFF2-40B4-BE49-F238E27FC236}">
              <a16:creationId xmlns:a16="http://schemas.microsoft.com/office/drawing/2014/main" id="{372EF0FF-C199-3340-BE05-2AD65CC9EC8E}"/>
            </a:ext>
          </a:extLst>
        </xdr:cNvPr>
        <xdr:cNvSpPr/>
      </xdr:nvSpPr>
      <xdr:spPr>
        <a:xfrm>
          <a:off x="1231900" y="4267200"/>
          <a:ext cx="1612900" cy="49530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ABOUT</a:t>
          </a:r>
        </a:p>
      </xdr:txBody>
    </xdr:sp>
    <xdr:clientData/>
  </xdr:twoCellAnchor>
  <xdr:twoCellAnchor>
    <xdr:from>
      <xdr:col>8</xdr:col>
      <xdr:colOff>190500</xdr:colOff>
      <xdr:row>14</xdr:row>
      <xdr:rowOff>152400</xdr:rowOff>
    </xdr:from>
    <xdr:to>
      <xdr:col>12</xdr:col>
      <xdr:colOff>330200</xdr:colOff>
      <xdr:row>19</xdr:row>
      <xdr:rowOff>177800</xdr:rowOff>
    </xdr:to>
    <xdr:graphicFrame macro="">
      <xdr:nvGraphicFramePr>
        <xdr:cNvPr id="31" name="Chart 30">
          <a:extLst>
            <a:ext uri="{FF2B5EF4-FFF2-40B4-BE49-F238E27FC236}">
              <a16:creationId xmlns:a16="http://schemas.microsoft.com/office/drawing/2014/main" id="{9E977F58-F104-ED45-AA5A-6DCDA0201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8</xdr:col>
      <xdr:colOff>800100</xdr:colOff>
      <xdr:row>1</xdr:row>
      <xdr:rowOff>139700</xdr:rowOff>
    </xdr:from>
    <xdr:to>
      <xdr:col>12</xdr:col>
      <xdr:colOff>469900</xdr:colOff>
      <xdr:row>5</xdr:row>
      <xdr:rowOff>215900</xdr:rowOff>
    </xdr:to>
    <mc:AlternateContent xmlns:mc="http://schemas.openxmlformats.org/markup-compatibility/2006">
      <mc:Choice xmlns:a14="http://schemas.microsoft.com/office/drawing/2010/main" Requires="a14">
        <xdr:graphicFrame macro="">
          <xdr:nvGraphicFramePr>
            <xdr:cNvPr id="33" name="Region 7">
              <a:extLst>
                <a:ext uri="{FF2B5EF4-FFF2-40B4-BE49-F238E27FC236}">
                  <a16:creationId xmlns:a16="http://schemas.microsoft.com/office/drawing/2014/main" id="{BB657CE1-D17B-1D4F-B61F-99C8A98FB01B}"/>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dr:sp macro="" textlink="">
          <xdr:nvSpPr>
            <xdr:cNvPr id="0" name=""/>
            <xdr:cNvSpPr>
              <a:spLocks noTextEdit="1"/>
            </xdr:cNvSpPr>
          </xdr:nvSpPr>
          <xdr:spPr>
            <a:xfrm>
              <a:off x="8420100" y="381000"/>
              <a:ext cx="347980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330200</xdr:colOff>
      <xdr:row>6</xdr:row>
      <xdr:rowOff>63501</xdr:rowOff>
    </xdr:from>
    <xdr:to>
      <xdr:col>11</xdr:col>
      <xdr:colOff>736600</xdr:colOff>
      <xdr:row>9</xdr:row>
      <xdr:rowOff>114301</xdr:rowOff>
    </xdr:to>
    <mc:AlternateContent xmlns:mc="http://schemas.openxmlformats.org/markup-compatibility/2006">
      <mc:Choice xmlns:a14="http://schemas.microsoft.com/office/drawing/2010/main" Requires="a14">
        <xdr:graphicFrame macro="">
          <xdr:nvGraphicFramePr>
            <xdr:cNvPr id="34" name="Item 7">
              <a:extLst>
                <a:ext uri="{FF2B5EF4-FFF2-40B4-BE49-F238E27FC236}">
                  <a16:creationId xmlns:a16="http://schemas.microsoft.com/office/drawing/2014/main" id="{7B81D3C6-8A6E-4D4B-9337-7D34792274D1}"/>
                </a:ext>
              </a:extLst>
            </xdr:cNvPr>
            <xdr:cNvGraphicFramePr/>
          </xdr:nvGraphicFramePr>
          <xdr:xfrm>
            <a:off x="0" y="0"/>
            <a:ext cx="0" cy="0"/>
          </xdr:xfrm>
          <a:graphic>
            <a:graphicData uri="http://schemas.microsoft.com/office/drawing/2010/slicer">
              <sle:slicer xmlns:sle="http://schemas.microsoft.com/office/drawing/2010/slicer" name="Item 7"/>
            </a:graphicData>
          </a:graphic>
        </xdr:graphicFrame>
      </mc:Choice>
      <mc:Fallback>
        <xdr:sp macro="" textlink="">
          <xdr:nvSpPr>
            <xdr:cNvPr id="0" name=""/>
            <xdr:cNvSpPr>
              <a:spLocks noTextEdit="1"/>
            </xdr:cNvSpPr>
          </xdr:nvSpPr>
          <xdr:spPr>
            <a:xfrm>
              <a:off x="4140200" y="1511301"/>
              <a:ext cx="7073900" cy="77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266700</xdr:colOff>
      <xdr:row>22</xdr:row>
      <xdr:rowOff>152400</xdr:rowOff>
    </xdr:from>
    <xdr:to>
      <xdr:col>12</xdr:col>
      <xdr:colOff>152400</xdr:colOff>
      <xdr:row>27</xdr:row>
      <xdr:rowOff>215900</xdr:rowOff>
    </xdr:to>
    <xdr:graphicFrame macro="">
      <xdr:nvGraphicFramePr>
        <xdr:cNvPr id="35" name="Chart 34">
          <a:extLst>
            <a:ext uri="{FF2B5EF4-FFF2-40B4-BE49-F238E27FC236}">
              <a16:creationId xmlns:a16="http://schemas.microsoft.com/office/drawing/2014/main" id="{66443A7A-DD68-F74B-9463-7B27675C3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355600</xdr:colOff>
      <xdr:row>18</xdr:row>
      <xdr:rowOff>25400</xdr:rowOff>
    </xdr:from>
    <xdr:to>
      <xdr:col>5</xdr:col>
      <xdr:colOff>292100</xdr:colOff>
      <xdr:row>18</xdr:row>
      <xdr:rowOff>228600</xdr:rowOff>
    </xdr:to>
    <xdr:sp macro="" textlink="">
      <xdr:nvSpPr>
        <xdr:cNvPr id="36" name="TextBox 35">
          <a:extLst>
            <a:ext uri="{FF2B5EF4-FFF2-40B4-BE49-F238E27FC236}">
              <a16:creationId xmlns:a16="http://schemas.microsoft.com/office/drawing/2014/main" id="{FD03A266-4D03-DF46-9B8A-249808468545}"/>
            </a:ext>
          </a:extLst>
        </xdr:cNvPr>
        <xdr:cNvSpPr txBox="1"/>
      </xdr:nvSpPr>
      <xdr:spPr>
        <a:xfrm>
          <a:off x="3213100" y="4368800"/>
          <a:ext cx="1841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SALES</a:t>
          </a:r>
          <a:r>
            <a:rPr lang="en-US" sz="1100" b="1" baseline="0">
              <a:latin typeface="Times New Roman" panose="02020603050405020304" pitchFamily="18" charset="0"/>
              <a:cs typeface="Times New Roman" panose="02020603050405020304" pitchFamily="18" charset="0"/>
            </a:rPr>
            <a:t> BY PRODUCTS</a:t>
          </a: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3</xdr:col>
      <xdr:colOff>330200</xdr:colOff>
      <xdr:row>19</xdr:row>
      <xdr:rowOff>50800</xdr:rowOff>
    </xdr:from>
    <xdr:to>
      <xdr:col>7</xdr:col>
      <xdr:colOff>495300</xdr:colOff>
      <xdr:row>27</xdr:row>
      <xdr:rowOff>101600</xdr:rowOff>
    </xdr:to>
    <xdr:graphicFrame macro="">
      <xdr:nvGraphicFramePr>
        <xdr:cNvPr id="38" name="Chart 37">
          <a:extLst>
            <a:ext uri="{FF2B5EF4-FFF2-40B4-BE49-F238E27FC236}">
              <a16:creationId xmlns:a16="http://schemas.microsoft.com/office/drawing/2014/main" id="{928C0CBF-60B6-F140-9754-6A201E56B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787400</xdr:colOff>
      <xdr:row>14</xdr:row>
      <xdr:rowOff>190500</xdr:rowOff>
    </xdr:from>
    <xdr:to>
      <xdr:col>5</xdr:col>
      <xdr:colOff>393700</xdr:colOff>
      <xdr:row>16</xdr:row>
      <xdr:rowOff>12700</xdr:rowOff>
    </xdr:to>
    <xdr:sp macro="" textlink="Pivot!B56">
      <xdr:nvSpPr>
        <xdr:cNvPr id="39" name="TextBox 38">
          <a:extLst>
            <a:ext uri="{FF2B5EF4-FFF2-40B4-BE49-F238E27FC236}">
              <a16:creationId xmlns:a16="http://schemas.microsoft.com/office/drawing/2014/main" id="{8E315849-CBE4-1A4C-9CE2-0C85001A373F}"/>
            </a:ext>
          </a:extLst>
        </xdr:cNvPr>
        <xdr:cNvSpPr txBox="1"/>
      </xdr:nvSpPr>
      <xdr:spPr>
        <a:xfrm>
          <a:off x="3644900" y="3568700"/>
          <a:ext cx="1511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E58EC6-EB02-4A4A-9FA8-D7F1916D15B3}" type="TxLink">
            <a:rPr lang="en-US" sz="1800" b="1" i="0" u="none" strike="noStrike">
              <a:solidFill>
                <a:schemeClr val="accent6"/>
              </a:solidFill>
              <a:latin typeface="Times New Roman" panose="02020603050405020304" pitchFamily="18" charset="0"/>
              <a:cs typeface="Times New Roman" panose="02020603050405020304" pitchFamily="18" charset="0"/>
            </a:rPr>
            <a:t>66,150</a:t>
          </a:fld>
          <a:endParaRPr lang="en-US" sz="1800" b="1">
            <a:solidFill>
              <a:schemeClr val="accent6"/>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596900</xdr:colOff>
      <xdr:row>14</xdr:row>
      <xdr:rowOff>228600</xdr:rowOff>
    </xdr:from>
    <xdr:to>
      <xdr:col>8</xdr:col>
      <xdr:colOff>203200</xdr:colOff>
      <xdr:row>16</xdr:row>
      <xdr:rowOff>38100</xdr:rowOff>
    </xdr:to>
    <xdr:sp macro="" textlink="Pivot!B60">
      <xdr:nvSpPr>
        <xdr:cNvPr id="40" name="TextBox 39">
          <a:extLst>
            <a:ext uri="{FF2B5EF4-FFF2-40B4-BE49-F238E27FC236}">
              <a16:creationId xmlns:a16="http://schemas.microsoft.com/office/drawing/2014/main" id="{78031995-96FD-3E47-AABF-47FBF8412635}"/>
            </a:ext>
          </a:extLst>
        </xdr:cNvPr>
        <xdr:cNvSpPr txBox="1"/>
      </xdr:nvSpPr>
      <xdr:spPr>
        <a:xfrm>
          <a:off x="6311900" y="3606800"/>
          <a:ext cx="1511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FDE364-A92A-DA43-870B-2B7291062091}" type="TxLink">
            <a:rPr lang="en-US" sz="1600" b="1" i="0" u="none" strike="noStrike">
              <a:solidFill>
                <a:schemeClr val="accent6"/>
              </a:solidFill>
              <a:latin typeface="Times New Roman" panose="02020603050405020304" pitchFamily="18" charset="0"/>
              <a:cs typeface="Times New Roman" panose="02020603050405020304" pitchFamily="18" charset="0"/>
            </a:rPr>
            <a:t>80</a:t>
          </a:fld>
          <a:endParaRPr lang="en-US" sz="1600" b="1">
            <a:solidFill>
              <a:schemeClr val="accent6"/>
            </a:solidFill>
            <a:latin typeface="Times New Roman" panose="02020603050405020304" pitchFamily="18" charset="0"/>
            <a:cs typeface="Times New Roman" panose="02020603050405020304" pitchFamily="18" charset="0"/>
          </a:endParaRPr>
        </a:p>
      </xdr:txBody>
    </xdr:sp>
    <xdr:clientData/>
  </xdr:twoCellAnchor>
  <xdr:twoCellAnchor editAs="oneCell">
    <xdr:from>
      <xdr:col>3</xdr:col>
      <xdr:colOff>203200</xdr:colOff>
      <xdr:row>1</xdr:row>
      <xdr:rowOff>165100</xdr:rowOff>
    </xdr:from>
    <xdr:to>
      <xdr:col>8</xdr:col>
      <xdr:colOff>723900</xdr:colOff>
      <xdr:row>5</xdr:row>
      <xdr:rowOff>127000</xdr:rowOff>
    </xdr:to>
    <mc:AlternateContent xmlns:mc="http://schemas.openxmlformats.org/markup-compatibility/2006">
      <mc:Choice xmlns:tsle="http://schemas.microsoft.com/office/drawing/2012/timeslicer" Requires="tsle">
        <xdr:graphicFrame macro="">
          <xdr:nvGraphicFramePr>
            <xdr:cNvPr id="41" name="Date 6">
              <a:extLst>
                <a:ext uri="{FF2B5EF4-FFF2-40B4-BE49-F238E27FC236}">
                  <a16:creationId xmlns:a16="http://schemas.microsoft.com/office/drawing/2014/main" id="{D1F7B41B-9601-1547-82DC-9BB386EEB796}"/>
                </a:ext>
              </a:extLst>
            </xdr:cNvPr>
            <xdr:cNvGraphicFramePr/>
          </xdr:nvGraphicFramePr>
          <xdr:xfrm>
            <a:off x="0" y="0"/>
            <a:ext cx="0" cy="0"/>
          </xdr:xfrm>
          <a:graphic>
            <a:graphicData uri="http://schemas.microsoft.com/office/drawing/2012/timeslicer">
              <tsle:timeslicer xmlns:tsle="http://schemas.microsoft.com/office/drawing/2012/timeslicer" name="Date 6"/>
            </a:graphicData>
          </a:graphic>
        </xdr:graphicFrame>
      </mc:Choice>
      <mc:Fallback>
        <xdr:sp macro="" textlink="">
          <xdr:nvSpPr>
            <xdr:cNvPr id="0" name=""/>
            <xdr:cNvSpPr>
              <a:spLocks noTextEdit="1"/>
            </xdr:cNvSpPr>
          </xdr:nvSpPr>
          <xdr:spPr>
            <a:xfrm>
              <a:off x="3060700" y="406400"/>
              <a:ext cx="5283200" cy="927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914400</xdr:colOff>
      <xdr:row>11</xdr:row>
      <xdr:rowOff>25400</xdr:rowOff>
    </xdr:from>
    <xdr:to>
      <xdr:col>5</xdr:col>
      <xdr:colOff>482600</xdr:colOff>
      <xdr:row>12</xdr:row>
      <xdr:rowOff>76200</xdr:rowOff>
    </xdr:to>
    <xdr:sp macro="" textlink="">
      <xdr:nvSpPr>
        <xdr:cNvPr id="42" name="TextBox 41">
          <a:extLst>
            <a:ext uri="{FF2B5EF4-FFF2-40B4-BE49-F238E27FC236}">
              <a16:creationId xmlns:a16="http://schemas.microsoft.com/office/drawing/2014/main" id="{7613F154-5677-7E45-98E6-F063F53D6992}"/>
            </a:ext>
          </a:extLst>
        </xdr:cNvPr>
        <xdr:cNvSpPr txBox="1"/>
      </xdr:nvSpPr>
      <xdr:spPr>
        <a:xfrm>
          <a:off x="3771900" y="2679700"/>
          <a:ext cx="1473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Times New Roman" panose="02020603050405020304" pitchFamily="18" charset="0"/>
              <a:cs typeface="Times New Roman" panose="02020603050405020304" pitchFamily="18" charset="0"/>
            </a:rPr>
            <a:t>ANALYTICS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152400</xdr:colOff>
      <xdr:row>1</xdr:row>
      <xdr:rowOff>38100</xdr:rowOff>
    </xdr:from>
    <xdr:to>
      <xdr:col>12</xdr:col>
      <xdr:colOff>609600</xdr:colOff>
      <xdr:row>28</xdr:row>
      <xdr:rowOff>228600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C079A2C-CAE5-FA49-A40E-1FC840E36756}"/>
            </a:ext>
          </a:extLst>
        </xdr:cNvPr>
        <xdr:cNvSpPr/>
      </xdr:nvSpPr>
      <xdr:spPr>
        <a:xfrm>
          <a:off x="1104900" y="279400"/>
          <a:ext cx="10934700" cy="6705600"/>
        </a:xfrm>
        <a:prstGeom prst="roundRect">
          <a:avLst>
            <a:gd name="adj" fmla="val 43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63500</xdr:colOff>
      <xdr:row>1</xdr:row>
      <xdr:rowOff>38100</xdr:rowOff>
    </xdr:from>
    <xdr:to>
      <xdr:col>12</xdr:col>
      <xdr:colOff>596900</xdr:colOff>
      <xdr:row>28</xdr:row>
      <xdr:rowOff>228600</xdr:rowOff>
    </xdr:to>
    <xdr:sp macro="" textlink="">
      <xdr:nvSpPr>
        <xdr:cNvPr id="3" name="Rounded Rectangle 2">
          <a:extLst>
            <a:ext uri="{FF2B5EF4-FFF2-40B4-BE49-F238E27FC236}">
              <a16:creationId xmlns:a16="http://schemas.microsoft.com/office/drawing/2014/main" id="{F9483F99-6CA3-8D40-8E4E-B5902469DF16}"/>
            </a:ext>
          </a:extLst>
        </xdr:cNvPr>
        <xdr:cNvSpPr/>
      </xdr:nvSpPr>
      <xdr:spPr>
        <a:xfrm>
          <a:off x="2921000" y="279400"/>
          <a:ext cx="9105900" cy="6705600"/>
        </a:xfrm>
        <a:prstGeom prst="roundRect">
          <a:avLst>
            <a:gd name="adj" fmla="val 435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419100</xdr:colOff>
      <xdr:row>10</xdr:row>
      <xdr:rowOff>127000</xdr:rowOff>
    </xdr:from>
    <xdr:to>
      <xdr:col>4</xdr:col>
      <xdr:colOff>0</xdr:colOff>
      <xdr:row>12</xdr:row>
      <xdr:rowOff>177800</xdr:rowOff>
    </xdr:to>
    <xdr:pic>
      <xdr:nvPicPr>
        <xdr:cNvPr id="4" name="Graphic 3" descr="Bar chart outline">
          <a:extLst>
            <a:ext uri="{FF2B5EF4-FFF2-40B4-BE49-F238E27FC236}">
              <a16:creationId xmlns:a16="http://schemas.microsoft.com/office/drawing/2014/main" id="{9104585E-94CA-3945-ABF8-160A98E2A9D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76600" y="2540000"/>
          <a:ext cx="533400" cy="533400"/>
        </a:xfrm>
        <a:prstGeom prst="rect">
          <a:avLst/>
        </a:prstGeom>
      </xdr:spPr>
    </xdr:pic>
    <xdr:clientData/>
  </xdr:twoCellAnchor>
  <xdr:twoCellAnchor>
    <xdr:from>
      <xdr:col>8</xdr:col>
      <xdr:colOff>12700</xdr:colOff>
      <xdr:row>13</xdr:row>
      <xdr:rowOff>50800</xdr:rowOff>
    </xdr:from>
    <xdr:to>
      <xdr:col>12</xdr:col>
      <xdr:colOff>444500</xdr:colOff>
      <xdr:row>19</xdr:row>
      <xdr:rowOff>177800</xdr:rowOff>
    </xdr:to>
    <xdr:sp macro="" textlink="">
      <xdr:nvSpPr>
        <xdr:cNvPr id="5" name="Rounded Rectangle 4">
          <a:extLst>
            <a:ext uri="{FF2B5EF4-FFF2-40B4-BE49-F238E27FC236}">
              <a16:creationId xmlns:a16="http://schemas.microsoft.com/office/drawing/2014/main" id="{5BBDA464-D927-9240-829B-0C6A8AAB5514}"/>
            </a:ext>
          </a:extLst>
        </xdr:cNvPr>
        <xdr:cNvSpPr/>
      </xdr:nvSpPr>
      <xdr:spPr>
        <a:xfrm>
          <a:off x="7632700" y="3187700"/>
          <a:ext cx="4241800" cy="157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12700</xdr:colOff>
      <xdr:row>21</xdr:row>
      <xdr:rowOff>76200</xdr:rowOff>
    </xdr:from>
    <xdr:to>
      <xdr:col>12</xdr:col>
      <xdr:colOff>444500</xdr:colOff>
      <xdr:row>27</xdr:row>
      <xdr:rowOff>203200</xdr:rowOff>
    </xdr:to>
    <xdr:sp macro="" textlink="">
      <xdr:nvSpPr>
        <xdr:cNvPr id="6" name="Rounded Rectangle 5">
          <a:extLst>
            <a:ext uri="{FF2B5EF4-FFF2-40B4-BE49-F238E27FC236}">
              <a16:creationId xmlns:a16="http://schemas.microsoft.com/office/drawing/2014/main" id="{E07FB3F4-1ACE-7249-A891-680D3014B63F}"/>
            </a:ext>
          </a:extLst>
        </xdr:cNvPr>
        <xdr:cNvSpPr/>
      </xdr:nvSpPr>
      <xdr:spPr>
        <a:xfrm>
          <a:off x="7632700" y="5143500"/>
          <a:ext cx="4241800" cy="157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152400</xdr:colOff>
      <xdr:row>13</xdr:row>
      <xdr:rowOff>0</xdr:rowOff>
    </xdr:from>
    <xdr:to>
      <xdr:col>7</xdr:col>
      <xdr:colOff>787400</xdr:colOff>
      <xdr:row>27</xdr:row>
      <xdr:rowOff>190500</xdr:rowOff>
    </xdr:to>
    <xdr:sp macro="" textlink="">
      <xdr:nvSpPr>
        <xdr:cNvPr id="7" name="Rounded Rectangle 6">
          <a:extLst>
            <a:ext uri="{FF2B5EF4-FFF2-40B4-BE49-F238E27FC236}">
              <a16:creationId xmlns:a16="http://schemas.microsoft.com/office/drawing/2014/main" id="{08826719-8EF4-FB44-A9FC-35DB8E45B6C2}"/>
            </a:ext>
          </a:extLst>
        </xdr:cNvPr>
        <xdr:cNvSpPr/>
      </xdr:nvSpPr>
      <xdr:spPr>
        <a:xfrm>
          <a:off x="3009900" y="3136900"/>
          <a:ext cx="4445000" cy="3568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596900</xdr:colOff>
      <xdr:row>13</xdr:row>
      <xdr:rowOff>139700</xdr:rowOff>
    </xdr:from>
    <xdr:to>
      <xdr:col>5</xdr:col>
      <xdr:colOff>203200</xdr:colOff>
      <xdr:row>14</xdr:row>
      <xdr:rowOff>114300</xdr:rowOff>
    </xdr:to>
    <xdr:sp macro="" textlink="">
      <xdr:nvSpPr>
        <xdr:cNvPr id="12" name="TextBox 11">
          <a:extLst>
            <a:ext uri="{FF2B5EF4-FFF2-40B4-BE49-F238E27FC236}">
              <a16:creationId xmlns:a16="http://schemas.microsoft.com/office/drawing/2014/main" id="{BC2AF4E3-12F2-214A-82B7-54A18105548D}"/>
            </a:ext>
          </a:extLst>
        </xdr:cNvPr>
        <xdr:cNvSpPr txBox="1"/>
      </xdr:nvSpPr>
      <xdr:spPr>
        <a:xfrm>
          <a:off x="3454400" y="3276600"/>
          <a:ext cx="15113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8</xdr:col>
      <xdr:colOff>139700</xdr:colOff>
      <xdr:row>13</xdr:row>
      <xdr:rowOff>114300</xdr:rowOff>
    </xdr:from>
    <xdr:to>
      <xdr:col>10</xdr:col>
      <xdr:colOff>342900</xdr:colOff>
      <xdr:row>14</xdr:row>
      <xdr:rowOff>101600</xdr:rowOff>
    </xdr:to>
    <xdr:sp macro="" textlink="">
      <xdr:nvSpPr>
        <xdr:cNvPr id="16" name="TextBox 15">
          <a:extLst>
            <a:ext uri="{FF2B5EF4-FFF2-40B4-BE49-F238E27FC236}">
              <a16:creationId xmlns:a16="http://schemas.microsoft.com/office/drawing/2014/main" id="{B412C811-DF7C-AD4C-B2B4-9BC2D37F81E7}"/>
            </a:ext>
          </a:extLst>
        </xdr:cNvPr>
        <xdr:cNvSpPr txBox="1"/>
      </xdr:nvSpPr>
      <xdr:spPr>
        <a:xfrm>
          <a:off x="7759700" y="3251200"/>
          <a:ext cx="21082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MOST SELLING PRODUCTS</a:t>
          </a:r>
        </a:p>
      </xdr:txBody>
    </xdr:sp>
    <xdr:clientData/>
  </xdr:twoCellAnchor>
  <xdr:twoCellAnchor>
    <xdr:from>
      <xdr:col>8</xdr:col>
      <xdr:colOff>228600</xdr:colOff>
      <xdr:row>21</xdr:row>
      <xdr:rowOff>127000</xdr:rowOff>
    </xdr:from>
    <xdr:to>
      <xdr:col>10</xdr:col>
      <xdr:colOff>431800</xdr:colOff>
      <xdr:row>22</xdr:row>
      <xdr:rowOff>101600</xdr:rowOff>
    </xdr:to>
    <xdr:sp macro="" textlink="">
      <xdr:nvSpPr>
        <xdr:cNvPr id="17" name="TextBox 16">
          <a:extLst>
            <a:ext uri="{FF2B5EF4-FFF2-40B4-BE49-F238E27FC236}">
              <a16:creationId xmlns:a16="http://schemas.microsoft.com/office/drawing/2014/main" id="{080AE62A-EA5C-3746-8971-91B19B9881B6}"/>
            </a:ext>
          </a:extLst>
        </xdr:cNvPr>
        <xdr:cNvSpPr txBox="1"/>
      </xdr:nvSpPr>
      <xdr:spPr>
        <a:xfrm>
          <a:off x="7848600" y="5194300"/>
          <a:ext cx="21082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LEAST SELLING PRODUCTS</a:t>
          </a:r>
        </a:p>
      </xdr:txBody>
    </xdr:sp>
    <xdr:clientData/>
  </xdr:twoCellAnchor>
  <xdr:twoCellAnchor>
    <xdr:from>
      <xdr:col>1</xdr:col>
      <xdr:colOff>304800</xdr:colOff>
      <xdr:row>9</xdr:row>
      <xdr:rowOff>215900</xdr:rowOff>
    </xdr:from>
    <xdr:to>
      <xdr:col>3</xdr:col>
      <xdr:colOff>38100</xdr:colOff>
      <xdr:row>11</xdr:row>
      <xdr:rowOff>228600</xdr:rowOff>
    </xdr:to>
    <xdr:sp macro="" textlink="">
      <xdr:nvSpPr>
        <xdr:cNvPr id="18" name="Rounded Rectangle 17">
          <a:hlinkClick xmlns:r="http://schemas.openxmlformats.org/officeDocument/2006/relationships" r:id="rId4"/>
          <a:extLst>
            <a:ext uri="{FF2B5EF4-FFF2-40B4-BE49-F238E27FC236}">
              <a16:creationId xmlns:a16="http://schemas.microsoft.com/office/drawing/2014/main" id="{91DB1257-F9BC-8E4A-9354-A6762C65DD51}"/>
            </a:ext>
          </a:extLst>
        </xdr:cNvPr>
        <xdr:cNvSpPr/>
      </xdr:nvSpPr>
      <xdr:spPr>
        <a:xfrm>
          <a:off x="1257300" y="2387600"/>
          <a:ext cx="1638300" cy="49530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DASHBOARD</a:t>
          </a:r>
        </a:p>
      </xdr:txBody>
    </xdr:sp>
    <xdr:clientData/>
  </xdr:twoCellAnchor>
  <xdr:twoCellAnchor>
    <xdr:from>
      <xdr:col>1</xdr:col>
      <xdr:colOff>279400</xdr:colOff>
      <xdr:row>12</xdr:row>
      <xdr:rowOff>152400</xdr:rowOff>
    </xdr:from>
    <xdr:to>
      <xdr:col>2</xdr:col>
      <xdr:colOff>939800</xdr:colOff>
      <xdr:row>14</xdr:row>
      <xdr:rowOff>165100</xdr:rowOff>
    </xdr:to>
    <xdr:sp macro="" textlink="">
      <xdr:nvSpPr>
        <xdr:cNvPr id="19" name="Rounded Rectangle 18">
          <a:hlinkClick xmlns:r="http://schemas.openxmlformats.org/officeDocument/2006/relationships" r:id="rId1"/>
          <a:extLst>
            <a:ext uri="{FF2B5EF4-FFF2-40B4-BE49-F238E27FC236}">
              <a16:creationId xmlns:a16="http://schemas.microsoft.com/office/drawing/2014/main" id="{D7270C80-3481-AE43-84E8-29C58E3935AC}"/>
            </a:ext>
          </a:extLst>
        </xdr:cNvPr>
        <xdr:cNvSpPr/>
      </xdr:nvSpPr>
      <xdr:spPr>
        <a:xfrm>
          <a:off x="1231900" y="3048000"/>
          <a:ext cx="1612900" cy="49530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75000"/>
                </a:schemeClr>
              </a:solidFill>
              <a:latin typeface="Times New Roman" panose="02020603050405020304" pitchFamily="18" charset="0"/>
              <a:cs typeface="Times New Roman" panose="02020603050405020304" pitchFamily="18" charset="0"/>
            </a:rPr>
            <a:t>PRODUCTS</a:t>
          </a:r>
        </a:p>
      </xdr:txBody>
    </xdr:sp>
    <xdr:clientData/>
  </xdr:twoCellAnchor>
  <xdr:twoCellAnchor>
    <xdr:from>
      <xdr:col>1</xdr:col>
      <xdr:colOff>279400</xdr:colOff>
      <xdr:row>15</xdr:row>
      <xdr:rowOff>38100</xdr:rowOff>
    </xdr:from>
    <xdr:to>
      <xdr:col>2</xdr:col>
      <xdr:colOff>939800</xdr:colOff>
      <xdr:row>17</xdr:row>
      <xdr:rowOff>50800</xdr:rowOff>
    </xdr:to>
    <xdr:sp macro="" textlink="">
      <xdr:nvSpPr>
        <xdr:cNvPr id="20" name="Rounded Rectangle 19">
          <a:hlinkClick xmlns:r="http://schemas.openxmlformats.org/officeDocument/2006/relationships" r:id="rId5"/>
          <a:extLst>
            <a:ext uri="{FF2B5EF4-FFF2-40B4-BE49-F238E27FC236}">
              <a16:creationId xmlns:a16="http://schemas.microsoft.com/office/drawing/2014/main" id="{EA14BFF0-B245-8747-9F6E-82369BF7D18A}"/>
            </a:ext>
          </a:extLst>
        </xdr:cNvPr>
        <xdr:cNvSpPr/>
      </xdr:nvSpPr>
      <xdr:spPr>
        <a:xfrm>
          <a:off x="1231900" y="3657600"/>
          <a:ext cx="1612900" cy="49530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SALESMAN</a:t>
          </a:r>
        </a:p>
      </xdr:txBody>
    </xdr:sp>
    <xdr:clientData/>
  </xdr:twoCellAnchor>
  <xdr:twoCellAnchor>
    <xdr:from>
      <xdr:col>1</xdr:col>
      <xdr:colOff>279400</xdr:colOff>
      <xdr:row>17</xdr:row>
      <xdr:rowOff>165100</xdr:rowOff>
    </xdr:from>
    <xdr:to>
      <xdr:col>2</xdr:col>
      <xdr:colOff>939800</xdr:colOff>
      <xdr:row>19</xdr:row>
      <xdr:rowOff>177800</xdr:rowOff>
    </xdr:to>
    <xdr:sp macro="" textlink="">
      <xdr:nvSpPr>
        <xdr:cNvPr id="21" name="Rounded Rectangle 20">
          <a:hlinkClick xmlns:r="http://schemas.openxmlformats.org/officeDocument/2006/relationships" r:id="rId6"/>
          <a:extLst>
            <a:ext uri="{FF2B5EF4-FFF2-40B4-BE49-F238E27FC236}">
              <a16:creationId xmlns:a16="http://schemas.microsoft.com/office/drawing/2014/main" id="{7B2C7A1B-72C6-5F47-B569-E4FA966E710C}"/>
            </a:ext>
          </a:extLst>
        </xdr:cNvPr>
        <xdr:cNvSpPr/>
      </xdr:nvSpPr>
      <xdr:spPr>
        <a:xfrm>
          <a:off x="1231900" y="4267200"/>
          <a:ext cx="1612900" cy="49530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ABOUT</a:t>
          </a:r>
        </a:p>
      </xdr:txBody>
    </xdr:sp>
    <xdr:clientData/>
  </xdr:twoCellAnchor>
  <xdr:twoCellAnchor editAs="oneCell">
    <xdr:from>
      <xdr:col>8</xdr:col>
      <xdr:colOff>863600</xdr:colOff>
      <xdr:row>1</xdr:row>
      <xdr:rowOff>127000</xdr:rowOff>
    </xdr:from>
    <xdr:to>
      <xdr:col>12</xdr:col>
      <xdr:colOff>533400</xdr:colOff>
      <xdr:row>5</xdr:row>
      <xdr:rowOff>203200</xdr:rowOff>
    </xdr:to>
    <mc:AlternateContent xmlns:mc="http://schemas.openxmlformats.org/markup-compatibility/2006">
      <mc:Choice xmlns:a14="http://schemas.microsoft.com/office/drawing/2010/main" Requires="a14">
        <xdr:graphicFrame macro="">
          <xdr:nvGraphicFramePr>
            <xdr:cNvPr id="24" name="Region 8">
              <a:extLst>
                <a:ext uri="{FF2B5EF4-FFF2-40B4-BE49-F238E27FC236}">
                  <a16:creationId xmlns:a16="http://schemas.microsoft.com/office/drawing/2014/main" id="{3D123866-FE66-EF4F-8529-808B99FB67F5}"/>
                </a:ext>
              </a:extLst>
            </xdr:cNvPr>
            <xdr:cNvGraphicFramePr/>
          </xdr:nvGraphicFramePr>
          <xdr:xfrm>
            <a:off x="0" y="0"/>
            <a:ext cx="0" cy="0"/>
          </xdr:xfrm>
          <a:graphic>
            <a:graphicData uri="http://schemas.microsoft.com/office/drawing/2010/slicer">
              <sle:slicer xmlns:sle="http://schemas.microsoft.com/office/drawing/2010/slicer" name="Region 8"/>
            </a:graphicData>
          </a:graphic>
        </xdr:graphicFrame>
      </mc:Choice>
      <mc:Fallback>
        <xdr:sp macro="" textlink="">
          <xdr:nvSpPr>
            <xdr:cNvPr id="0" name=""/>
            <xdr:cNvSpPr>
              <a:spLocks noTextEdit="1"/>
            </xdr:cNvSpPr>
          </xdr:nvSpPr>
          <xdr:spPr>
            <a:xfrm>
              <a:off x="8483600" y="368300"/>
              <a:ext cx="347980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330200</xdr:colOff>
      <xdr:row>6</xdr:row>
      <xdr:rowOff>63501</xdr:rowOff>
    </xdr:from>
    <xdr:to>
      <xdr:col>11</xdr:col>
      <xdr:colOff>736600</xdr:colOff>
      <xdr:row>9</xdr:row>
      <xdr:rowOff>114301</xdr:rowOff>
    </xdr:to>
    <mc:AlternateContent xmlns:mc="http://schemas.openxmlformats.org/markup-compatibility/2006">
      <mc:Choice xmlns:a14="http://schemas.microsoft.com/office/drawing/2010/main" Requires="a14">
        <xdr:graphicFrame macro="">
          <xdr:nvGraphicFramePr>
            <xdr:cNvPr id="25" name="Item 8">
              <a:extLst>
                <a:ext uri="{FF2B5EF4-FFF2-40B4-BE49-F238E27FC236}">
                  <a16:creationId xmlns:a16="http://schemas.microsoft.com/office/drawing/2014/main" id="{203C843A-E1A1-D047-AC83-341C9025156B}"/>
                </a:ext>
              </a:extLst>
            </xdr:cNvPr>
            <xdr:cNvGraphicFramePr/>
          </xdr:nvGraphicFramePr>
          <xdr:xfrm>
            <a:off x="0" y="0"/>
            <a:ext cx="0" cy="0"/>
          </xdr:xfrm>
          <a:graphic>
            <a:graphicData uri="http://schemas.microsoft.com/office/drawing/2010/slicer">
              <sle:slicer xmlns:sle="http://schemas.microsoft.com/office/drawing/2010/slicer" name="Item 8"/>
            </a:graphicData>
          </a:graphic>
        </xdr:graphicFrame>
      </mc:Choice>
      <mc:Fallback>
        <xdr:sp macro="" textlink="">
          <xdr:nvSpPr>
            <xdr:cNvPr id="0" name=""/>
            <xdr:cNvSpPr>
              <a:spLocks noTextEdit="1"/>
            </xdr:cNvSpPr>
          </xdr:nvSpPr>
          <xdr:spPr>
            <a:xfrm>
              <a:off x="4140200" y="1511301"/>
              <a:ext cx="7073900" cy="77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444500</xdr:colOff>
      <xdr:row>13</xdr:row>
      <xdr:rowOff>127000</xdr:rowOff>
    </xdr:from>
    <xdr:to>
      <xdr:col>5</xdr:col>
      <xdr:colOff>381000</xdr:colOff>
      <xdr:row>14</xdr:row>
      <xdr:rowOff>88900</xdr:rowOff>
    </xdr:to>
    <xdr:sp macro="" textlink="">
      <xdr:nvSpPr>
        <xdr:cNvPr id="27" name="TextBox 26">
          <a:extLst>
            <a:ext uri="{FF2B5EF4-FFF2-40B4-BE49-F238E27FC236}">
              <a16:creationId xmlns:a16="http://schemas.microsoft.com/office/drawing/2014/main" id="{97AD43AB-81DE-F045-819F-AF3B56813777}"/>
            </a:ext>
          </a:extLst>
        </xdr:cNvPr>
        <xdr:cNvSpPr txBox="1"/>
      </xdr:nvSpPr>
      <xdr:spPr>
        <a:xfrm>
          <a:off x="3302000" y="3263900"/>
          <a:ext cx="1841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SALES</a:t>
          </a:r>
          <a:r>
            <a:rPr lang="en-US" sz="1100" b="1" baseline="0">
              <a:latin typeface="Times New Roman" panose="02020603050405020304" pitchFamily="18" charset="0"/>
              <a:cs typeface="Times New Roman" panose="02020603050405020304" pitchFamily="18" charset="0"/>
            </a:rPr>
            <a:t> BY PRODUCTS </a:t>
          </a: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8</xdr:col>
      <xdr:colOff>114300</xdr:colOff>
      <xdr:row>14</xdr:row>
      <xdr:rowOff>139701</xdr:rowOff>
    </xdr:from>
    <xdr:to>
      <xdr:col>12</xdr:col>
      <xdr:colOff>381000</xdr:colOff>
      <xdr:row>19</xdr:row>
      <xdr:rowOff>127000</xdr:rowOff>
    </xdr:to>
    <xdr:graphicFrame macro="">
      <xdr:nvGraphicFramePr>
        <xdr:cNvPr id="31" name="Chart 30">
          <a:extLst>
            <a:ext uri="{FF2B5EF4-FFF2-40B4-BE49-F238E27FC236}">
              <a16:creationId xmlns:a16="http://schemas.microsoft.com/office/drawing/2014/main" id="{8B701050-999B-FD45-8A3F-C4F06ADE1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203200</xdr:colOff>
      <xdr:row>22</xdr:row>
      <xdr:rowOff>203200</xdr:rowOff>
    </xdr:from>
    <xdr:to>
      <xdr:col>13</xdr:col>
      <xdr:colOff>12700</xdr:colOff>
      <xdr:row>27</xdr:row>
      <xdr:rowOff>127000</xdr:rowOff>
    </xdr:to>
    <xdr:graphicFrame macro="">
      <xdr:nvGraphicFramePr>
        <xdr:cNvPr id="32" name="Chart 31">
          <a:extLst>
            <a:ext uri="{FF2B5EF4-FFF2-40B4-BE49-F238E27FC236}">
              <a16:creationId xmlns:a16="http://schemas.microsoft.com/office/drawing/2014/main" id="{42BBA3FE-DB6A-1847-ACD7-CA4B0A5A1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254000</xdr:colOff>
      <xdr:row>1</xdr:row>
      <xdr:rowOff>203200</xdr:rowOff>
    </xdr:from>
    <xdr:to>
      <xdr:col>8</xdr:col>
      <xdr:colOff>774700</xdr:colOff>
      <xdr:row>5</xdr:row>
      <xdr:rowOff>165100</xdr:rowOff>
    </xdr:to>
    <mc:AlternateContent xmlns:mc="http://schemas.openxmlformats.org/markup-compatibility/2006">
      <mc:Choice xmlns:tsle="http://schemas.microsoft.com/office/drawing/2012/timeslicer" Requires="tsle">
        <xdr:graphicFrame macro="">
          <xdr:nvGraphicFramePr>
            <xdr:cNvPr id="33" name="Date 5">
              <a:extLst>
                <a:ext uri="{FF2B5EF4-FFF2-40B4-BE49-F238E27FC236}">
                  <a16:creationId xmlns:a16="http://schemas.microsoft.com/office/drawing/2014/main" id="{30549B44-8A70-0143-8EFA-F81F761A8A17}"/>
                </a:ext>
              </a:extLst>
            </xdr:cNvPr>
            <xdr:cNvGraphicFramePr/>
          </xdr:nvGraphicFramePr>
          <xdr:xfrm>
            <a:off x="0" y="0"/>
            <a:ext cx="0" cy="0"/>
          </xdr:xfrm>
          <a:graphic>
            <a:graphicData uri="http://schemas.microsoft.com/office/drawing/2012/timeslicer">
              <tsle:timeslicer xmlns:tsle="http://schemas.microsoft.com/office/drawing/2012/timeslicer" name="Date 5"/>
            </a:graphicData>
          </a:graphic>
        </xdr:graphicFrame>
      </mc:Choice>
      <mc:Fallback>
        <xdr:sp macro="" textlink="">
          <xdr:nvSpPr>
            <xdr:cNvPr id="0" name=""/>
            <xdr:cNvSpPr>
              <a:spLocks noTextEdit="1"/>
            </xdr:cNvSpPr>
          </xdr:nvSpPr>
          <xdr:spPr>
            <a:xfrm>
              <a:off x="3111500" y="444500"/>
              <a:ext cx="5283200" cy="927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279400</xdr:colOff>
      <xdr:row>15</xdr:row>
      <xdr:rowOff>25400</xdr:rowOff>
    </xdr:from>
    <xdr:to>
      <xdr:col>7</xdr:col>
      <xdr:colOff>622300</xdr:colOff>
      <xdr:row>26</xdr:row>
      <xdr:rowOff>38100</xdr:rowOff>
    </xdr:to>
    <xdr:graphicFrame macro="">
      <xdr:nvGraphicFramePr>
        <xdr:cNvPr id="34" name="Chart 33">
          <a:extLst>
            <a:ext uri="{FF2B5EF4-FFF2-40B4-BE49-F238E27FC236}">
              <a16:creationId xmlns:a16="http://schemas.microsoft.com/office/drawing/2014/main" id="{1ACAA5D3-7913-1942-8A52-05F6F8E78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63500</xdr:colOff>
      <xdr:row>11</xdr:row>
      <xdr:rowOff>25400</xdr:rowOff>
    </xdr:from>
    <xdr:to>
      <xdr:col>5</xdr:col>
      <xdr:colOff>584200</xdr:colOff>
      <xdr:row>12</xdr:row>
      <xdr:rowOff>76200</xdr:rowOff>
    </xdr:to>
    <xdr:sp macro="" textlink="">
      <xdr:nvSpPr>
        <xdr:cNvPr id="35" name="TextBox 34">
          <a:extLst>
            <a:ext uri="{FF2B5EF4-FFF2-40B4-BE49-F238E27FC236}">
              <a16:creationId xmlns:a16="http://schemas.microsoft.com/office/drawing/2014/main" id="{8C7CD020-D709-F946-B319-72788BF68743}"/>
            </a:ext>
          </a:extLst>
        </xdr:cNvPr>
        <xdr:cNvSpPr txBox="1"/>
      </xdr:nvSpPr>
      <xdr:spPr>
        <a:xfrm>
          <a:off x="3873500" y="2679700"/>
          <a:ext cx="1473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Times New Roman" panose="02020603050405020304" pitchFamily="18" charset="0"/>
              <a:cs typeface="Times New Roman" panose="02020603050405020304" pitchFamily="18" charset="0"/>
            </a:rPr>
            <a:t>ANALYTICS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152400</xdr:colOff>
      <xdr:row>1</xdr:row>
      <xdr:rowOff>38100</xdr:rowOff>
    </xdr:from>
    <xdr:to>
      <xdr:col>12</xdr:col>
      <xdr:colOff>609600</xdr:colOff>
      <xdr:row>28</xdr:row>
      <xdr:rowOff>228600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BC0D6D-F28B-B341-8135-CDA4662C08ED}"/>
            </a:ext>
          </a:extLst>
        </xdr:cNvPr>
        <xdr:cNvSpPr/>
      </xdr:nvSpPr>
      <xdr:spPr>
        <a:xfrm>
          <a:off x="1104900" y="279400"/>
          <a:ext cx="10934700" cy="6705600"/>
        </a:xfrm>
        <a:prstGeom prst="roundRect">
          <a:avLst>
            <a:gd name="adj" fmla="val 43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63500</xdr:colOff>
      <xdr:row>1</xdr:row>
      <xdr:rowOff>38100</xdr:rowOff>
    </xdr:from>
    <xdr:to>
      <xdr:col>12</xdr:col>
      <xdr:colOff>596900</xdr:colOff>
      <xdr:row>28</xdr:row>
      <xdr:rowOff>228600</xdr:rowOff>
    </xdr:to>
    <xdr:sp macro="" textlink="">
      <xdr:nvSpPr>
        <xdr:cNvPr id="3" name="Rounded Rectangle 2">
          <a:extLst>
            <a:ext uri="{FF2B5EF4-FFF2-40B4-BE49-F238E27FC236}">
              <a16:creationId xmlns:a16="http://schemas.microsoft.com/office/drawing/2014/main" id="{37F33105-0CDB-F348-BD13-04E20A1F2E14}"/>
            </a:ext>
          </a:extLst>
        </xdr:cNvPr>
        <xdr:cNvSpPr/>
      </xdr:nvSpPr>
      <xdr:spPr>
        <a:xfrm>
          <a:off x="2921000" y="279400"/>
          <a:ext cx="9105900" cy="6705600"/>
        </a:xfrm>
        <a:prstGeom prst="roundRect">
          <a:avLst>
            <a:gd name="adj" fmla="val 435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419100</xdr:colOff>
      <xdr:row>10</xdr:row>
      <xdr:rowOff>127000</xdr:rowOff>
    </xdr:from>
    <xdr:to>
      <xdr:col>4</xdr:col>
      <xdr:colOff>0</xdr:colOff>
      <xdr:row>12</xdr:row>
      <xdr:rowOff>177800</xdr:rowOff>
    </xdr:to>
    <xdr:pic>
      <xdr:nvPicPr>
        <xdr:cNvPr id="4" name="Graphic 3" descr="Bar chart outline">
          <a:extLst>
            <a:ext uri="{FF2B5EF4-FFF2-40B4-BE49-F238E27FC236}">
              <a16:creationId xmlns:a16="http://schemas.microsoft.com/office/drawing/2014/main" id="{5E89A92C-9380-A744-BFE3-B0AB68D29E0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76600" y="2540000"/>
          <a:ext cx="533400" cy="533400"/>
        </a:xfrm>
        <a:prstGeom prst="rect">
          <a:avLst/>
        </a:prstGeom>
      </xdr:spPr>
    </xdr:pic>
    <xdr:clientData/>
  </xdr:twoCellAnchor>
  <xdr:twoCellAnchor>
    <xdr:from>
      <xdr:col>8</xdr:col>
      <xdr:colOff>12700</xdr:colOff>
      <xdr:row>13</xdr:row>
      <xdr:rowOff>50800</xdr:rowOff>
    </xdr:from>
    <xdr:to>
      <xdr:col>12</xdr:col>
      <xdr:colOff>444500</xdr:colOff>
      <xdr:row>19</xdr:row>
      <xdr:rowOff>177800</xdr:rowOff>
    </xdr:to>
    <xdr:sp macro="" textlink="">
      <xdr:nvSpPr>
        <xdr:cNvPr id="5" name="Rounded Rectangle 4">
          <a:extLst>
            <a:ext uri="{FF2B5EF4-FFF2-40B4-BE49-F238E27FC236}">
              <a16:creationId xmlns:a16="http://schemas.microsoft.com/office/drawing/2014/main" id="{FBDC9C23-F727-8643-8FA4-873B10DB8BFF}"/>
            </a:ext>
          </a:extLst>
        </xdr:cNvPr>
        <xdr:cNvSpPr/>
      </xdr:nvSpPr>
      <xdr:spPr>
        <a:xfrm>
          <a:off x="7632700" y="3187700"/>
          <a:ext cx="4241800" cy="157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12700</xdr:colOff>
      <xdr:row>21</xdr:row>
      <xdr:rowOff>76200</xdr:rowOff>
    </xdr:from>
    <xdr:to>
      <xdr:col>12</xdr:col>
      <xdr:colOff>444500</xdr:colOff>
      <xdr:row>27</xdr:row>
      <xdr:rowOff>203200</xdr:rowOff>
    </xdr:to>
    <xdr:sp macro="" textlink="">
      <xdr:nvSpPr>
        <xdr:cNvPr id="6" name="Rounded Rectangle 5">
          <a:extLst>
            <a:ext uri="{FF2B5EF4-FFF2-40B4-BE49-F238E27FC236}">
              <a16:creationId xmlns:a16="http://schemas.microsoft.com/office/drawing/2014/main" id="{F2C96037-FDD8-3D4D-BAA7-979F1A87B734}"/>
            </a:ext>
          </a:extLst>
        </xdr:cNvPr>
        <xdr:cNvSpPr/>
      </xdr:nvSpPr>
      <xdr:spPr>
        <a:xfrm>
          <a:off x="7632700" y="5143500"/>
          <a:ext cx="4241800" cy="157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152400</xdr:colOff>
      <xdr:row>13</xdr:row>
      <xdr:rowOff>0</xdr:rowOff>
    </xdr:from>
    <xdr:to>
      <xdr:col>7</xdr:col>
      <xdr:colOff>787400</xdr:colOff>
      <xdr:row>27</xdr:row>
      <xdr:rowOff>190500</xdr:rowOff>
    </xdr:to>
    <xdr:sp macro="" textlink="">
      <xdr:nvSpPr>
        <xdr:cNvPr id="7" name="Rounded Rectangle 6">
          <a:extLst>
            <a:ext uri="{FF2B5EF4-FFF2-40B4-BE49-F238E27FC236}">
              <a16:creationId xmlns:a16="http://schemas.microsoft.com/office/drawing/2014/main" id="{EBE6C9B9-B93C-3640-A417-F7D9C0D09CBD}"/>
            </a:ext>
          </a:extLst>
        </xdr:cNvPr>
        <xdr:cNvSpPr/>
      </xdr:nvSpPr>
      <xdr:spPr>
        <a:xfrm>
          <a:off x="3009900" y="3136900"/>
          <a:ext cx="4445000" cy="3568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596900</xdr:colOff>
      <xdr:row>13</xdr:row>
      <xdr:rowOff>139700</xdr:rowOff>
    </xdr:from>
    <xdr:to>
      <xdr:col>5</xdr:col>
      <xdr:colOff>203200</xdr:colOff>
      <xdr:row>14</xdr:row>
      <xdr:rowOff>114300</xdr:rowOff>
    </xdr:to>
    <xdr:sp macro="" textlink="">
      <xdr:nvSpPr>
        <xdr:cNvPr id="8" name="TextBox 7">
          <a:extLst>
            <a:ext uri="{FF2B5EF4-FFF2-40B4-BE49-F238E27FC236}">
              <a16:creationId xmlns:a16="http://schemas.microsoft.com/office/drawing/2014/main" id="{7DFA55C7-2255-314E-B480-077D1919E0D6}"/>
            </a:ext>
          </a:extLst>
        </xdr:cNvPr>
        <xdr:cNvSpPr txBox="1"/>
      </xdr:nvSpPr>
      <xdr:spPr>
        <a:xfrm>
          <a:off x="3454400" y="3276600"/>
          <a:ext cx="15113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8</xdr:col>
      <xdr:colOff>139700</xdr:colOff>
      <xdr:row>13</xdr:row>
      <xdr:rowOff>114300</xdr:rowOff>
    </xdr:from>
    <xdr:to>
      <xdr:col>10</xdr:col>
      <xdr:colOff>342900</xdr:colOff>
      <xdr:row>14</xdr:row>
      <xdr:rowOff>101600</xdr:rowOff>
    </xdr:to>
    <xdr:sp macro="" textlink="">
      <xdr:nvSpPr>
        <xdr:cNvPr id="9" name="TextBox 8">
          <a:extLst>
            <a:ext uri="{FF2B5EF4-FFF2-40B4-BE49-F238E27FC236}">
              <a16:creationId xmlns:a16="http://schemas.microsoft.com/office/drawing/2014/main" id="{6E1EF0D2-7B96-D147-91BD-33A5B1676C32}"/>
            </a:ext>
          </a:extLst>
        </xdr:cNvPr>
        <xdr:cNvSpPr txBox="1"/>
      </xdr:nvSpPr>
      <xdr:spPr>
        <a:xfrm>
          <a:off x="7759700" y="3251200"/>
          <a:ext cx="21082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MOST SELLING SALESMAN</a:t>
          </a:r>
        </a:p>
      </xdr:txBody>
    </xdr:sp>
    <xdr:clientData/>
  </xdr:twoCellAnchor>
  <xdr:twoCellAnchor>
    <xdr:from>
      <xdr:col>8</xdr:col>
      <xdr:colOff>228600</xdr:colOff>
      <xdr:row>21</xdr:row>
      <xdr:rowOff>127000</xdr:rowOff>
    </xdr:from>
    <xdr:to>
      <xdr:col>10</xdr:col>
      <xdr:colOff>431800</xdr:colOff>
      <xdr:row>22</xdr:row>
      <xdr:rowOff>101600</xdr:rowOff>
    </xdr:to>
    <xdr:sp macro="" textlink="">
      <xdr:nvSpPr>
        <xdr:cNvPr id="10" name="TextBox 9">
          <a:extLst>
            <a:ext uri="{FF2B5EF4-FFF2-40B4-BE49-F238E27FC236}">
              <a16:creationId xmlns:a16="http://schemas.microsoft.com/office/drawing/2014/main" id="{21B5B563-7328-C140-8EEF-AD1B94EA2285}"/>
            </a:ext>
          </a:extLst>
        </xdr:cNvPr>
        <xdr:cNvSpPr txBox="1"/>
      </xdr:nvSpPr>
      <xdr:spPr>
        <a:xfrm>
          <a:off x="7848600" y="5194300"/>
          <a:ext cx="21082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LEAST SELLING SALESMAN</a:t>
          </a:r>
        </a:p>
      </xdr:txBody>
    </xdr:sp>
    <xdr:clientData/>
  </xdr:twoCellAnchor>
  <xdr:twoCellAnchor>
    <xdr:from>
      <xdr:col>1</xdr:col>
      <xdr:colOff>304800</xdr:colOff>
      <xdr:row>9</xdr:row>
      <xdr:rowOff>215900</xdr:rowOff>
    </xdr:from>
    <xdr:to>
      <xdr:col>3</xdr:col>
      <xdr:colOff>38100</xdr:colOff>
      <xdr:row>11</xdr:row>
      <xdr:rowOff>228600</xdr:rowOff>
    </xdr:to>
    <xdr:sp macro="" textlink="">
      <xdr:nvSpPr>
        <xdr:cNvPr id="11" name="Rounded Rectangle 10">
          <a:hlinkClick xmlns:r="http://schemas.openxmlformats.org/officeDocument/2006/relationships" r:id="rId4"/>
          <a:extLst>
            <a:ext uri="{FF2B5EF4-FFF2-40B4-BE49-F238E27FC236}">
              <a16:creationId xmlns:a16="http://schemas.microsoft.com/office/drawing/2014/main" id="{918364E0-809A-204C-B42C-000904B6AB00}"/>
            </a:ext>
          </a:extLst>
        </xdr:cNvPr>
        <xdr:cNvSpPr/>
      </xdr:nvSpPr>
      <xdr:spPr>
        <a:xfrm>
          <a:off x="1257300" y="2387600"/>
          <a:ext cx="1638300" cy="49530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DASHBOARD</a:t>
          </a:r>
        </a:p>
      </xdr:txBody>
    </xdr:sp>
    <xdr:clientData/>
  </xdr:twoCellAnchor>
  <xdr:twoCellAnchor>
    <xdr:from>
      <xdr:col>1</xdr:col>
      <xdr:colOff>279400</xdr:colOff>
      <xdr:row>12</xdr:row>
      <xdr:rowOff>152400</xdr:rowOff>
    </xdr:from>
    <xdr:to>
      <xdr:col>2</xdr:col>
      <xdr:colOff>939800</xdr:colOff>
      <xdr:row>14</xdr:row>
      <xdr:rowOff>165100</xdr:rowOff>
    </xdr:to>
    <xdr:sp macro="" textlink="">
      <xdr:nvSpPr>
        <xdr:cNvPr id="12" name="Rounded Rectangle 11">
          <a:hlinkClick xmlns:r="http://schemas.openxmlformats.org/officeDocument/2006/relationships" r:id="rId5"/>
          <a:extLst>
            <a:ext uri="{FF2B5EF4-FFF2-40B4-BE49-F238E27FC236}">
              <a16:creationId xmlns:a16="http://schemas.microsoft.com/office/drawing/2014/main" id="{8330DBD1-E053-FB4B-A12E-5828162F29AB}"/>
            </a:ext>
          </a:extLst>
        </xdr:cNvPr>
        <xdr:cNvSpPr/>
      </xdr:nvSpPr>
      <xdr:spPr>
        <a:xfrm>
          <a:off x="1231900" y="3048000"/>
          <a:ext cx="1612900" cy="49530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PRODUCTS</a:t>
          </a:r>
        </a:p>
      </xdr:txBody>
    </xdr:sp>
    <xdr:clientData/>
  </xdr:twoCellAnchor>
  <xdr:twoCellAnchor>
    <xdr:from>
      <xdr:col>1</xdr:col>
      <xdr:colOff>279400</xdr:colOff>
      <xdr:row>15</xdr:row>
      <xdr:rowOff>38100</xdr:rowOff>
    </xdr:from>
    <xdr:to>
      <xdr:col>2</xdr:col>
      <xdr:colOff>939800</xdr:colOff>
      <xdr:row>17</xdr:row>
      <xdr:rowOff>50800</xdr:rowOff>
    </xdr:to>
    <xdr:sp macro="" textlink="">
      <xdr:nvSpPr>
        <xdr:cNvPr id="13" name="Rounded Rectangle 12">
          <a:extLst>
            <a:ext uri="{FF2B5EF4-FFF2-40B4-BE49-F238E27FC236}">
              <a16:creationId xmlns:a16="http://schemas.microsoft.com/office/drawing/2014/main" id="{DADD856A-6BB7-464C-8D17-DDB25B4F78A2}"/>
            </a:ext>
          </a:extLst>
        </xdr:cNvPr>
        <xdr:cNvSpPr/>
      </xdr:nvSpPr>
      <xdr:spPr>
        <a:xfrm>
          <a:off x="1231900" y="3657600"/>
          <a:ext cx="1612900" cy="49530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75000"/>
                </a:schemeClr>
              </a:solidFill>
              <a:latin typeface="Times New Roman" panose="02020603050405020304" pitchFamily="18" charset="0"/>
              <a:cs typeface="Times New Roman" panose="02020603050405020304" pitchFamily="18" charset="0"/>
            </a:rPr>
            <a:t>SALESMAN</a:t>
          </a:r>
        </a:p>
      </xdr:txBody>
    </xdr:sp>
    <xdr:clientData/>
  </xdr:twoCellAnchor>
  <xdr:twoCellAnchor>
    <xdr:from>
      <xdr:col>1</xdr:col>
      <xdr:colOff>279400</xdr:colOff>
      <xdr:row>17</xdr:row>
      <xdr:rowOff>165100</xdr:rowOff>
    </xdr:from>
    <xdr:to>
      <xdr:col>2</xdr:col>
      <xdr:colOff>939800</xdr:colOff>
      <xdr:row>19</xdr:row>
      <xdr:rowOff>177800</xdr:rowOff>
    </xdr:to>
    <xdr:sp macro="" textlink="">
      <xdr:nvSpPr>
        <xdr:cNvPr id="14" name="Rounded Rectangle 13">
          <a:hlinkClick xmlns:r="http://schemas.openxmlformats.org/officeDocument/2006/relationships" r:id="rId6"/>
          <a:extLst>
            <a:ext uri="{FF2B5EF4-FFF2-40B4-BE49-F238E27FC236}">
              <a16:creationId xmlns:a16="http://schemas.microsoft.com/office/drawing/2014/main" id="{D07BB9E7-06F6-CB44-881D-AECE64C9B707}"/>
            </a:ext>
          </a:extLst>
        </xdr:cNvPr>
        <xdr:cNvSpPr/>
      </xdr:nvSpPr>
      <xdr:spPr>
        <a:xfrm>
          <a:off x="1231900" y="4267200"/>
          <a:ext cx="1612900" cy="49530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ABOUT</a:t>
          </a:r>
        </a:p>
      </xdr:txBody>
    </xdr:sp>
    <xdr:clientData/>
  </xdr:twoCellAnchor>
  <xdr:twoCellAnchor editAs="oneCell">
    <xdr:from>
      <xdr:col>8</xdr:col>
      <xdr:colOff>863600</xdr:colOff>
      <xdr:row>1</xdr:row>
      <xdr:rowOff>127000</xdr:rowOff>
    </xdr:from>
    <xdr:to>
      <xdr:col>12</xdr:col>
      <xdr:colOff>533400</xdr:colOff>
      <xdr:row>5</xdr:row>
      <xdr:rowOff>203200</xdr:rowOff>
    </xdr:to>
    <mc:AlternateContent xmlns:mc="http://schemas.openxmlformats.org/markup-compatibility/2006">
      <mc:Choice xmlns:a14="http://schemas.microsoft.com/office/drawing/2010/main" Requires="a14">
        <xdr:graphicFrame macro="">
          <xdr:nvGraphicFramePr>
            <xdr:cNvPr id="15" name="Region 9">
              <a:extLst>
                <a:ext uri="{FF2B5EF4-FFF2-40B4-BE49-F238E27FC236}">
                  <a16:creationId xmlns:a16="http://schemas.microsoft.com/office/drawing/2014/main" id="{97E04D79-9638-A247-9616-5901C2F5E1A6}"/>
                </a:ext>
              </a:extLst>
            </xdr:cNvPr>
            <xdr:cNvGraphicFramePr/>
          </xdr:nvGraphicFramePr>
          <xdr:xfrm>
            <a:off x="0" y="0"/>
            <a:ext cx="0" cy="0"/>
          </xdr:xfrm>
          <a:graphic>
            <a:graphicData uri="http://schemas.microsoft.com/office/drawing/2010/slicer">
              <sle:slicer xmlns:sle="http://schemas.microsoft.com/office/drawing/2010/slicer" name="Region 9"/>
            </a:graphicData>
          </a:graphic>
        </xdr:graphicFrame>
      </mc:Choice>
      <mc:Fallback>
        <xdr:sp macro="" textlink="">
          <xdr:nvSpPr>
            <xdr:cNvPr id="0" name=""/>
            <xdr:cNvSpPr>
              <a:spLocks noTextEdit="1"/>
            </xdr:cNvSpPr>
          </xdr:nvSpPr>
          <xdr:spPr>
            <a:xfrm>
              <a:off x="8483600" y="368300"/>
              <a:ext cx="347980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330200</xdr:colOff>
      <xdr:row>6</xdr:row>
      <xdr:rowOff>63501</xdr:rowOff>
    </xdr:from>
    <xdr:to>
      <xdr:col>11</xdr:col>
      <xdr:colOff>736600</xdr:colOff>
      <xdr:row>9</xdr:row>
      <xdr:rowOff>114301</xdr:rowOff>
    </xdr:to>
    <mc:AlternateContent xmlns:mc="http://schemas.openxmlformats.org/markup-compatibility/2006">
      <mc:Choice xmlns:a14="http://schemas.microsoft.com/office/drawing/2010/main" Requires="a14">
        <xdr:graphicFrame macro="">
          <xdr:nvGraphicFramePr>
            <xdr:cNvPr id="16" name="Item 9">
              <a:extLst>
                <a:ext uri="{FF2B5EF4-FFF2-40B4-BE49-F238E27FC236}">
                  <a16:creationId xmlns:a16="http://schemas.microsoft.com/office/drawing/2014/main" id="{6E95AB50-387D-0E46-A4DC-18F7DD1AF008}"/>
                </a:ext>
              </a:extLst>
            </xdr:cNvPr>
            <xdr:cNvGraphicFramePr/>
          </xdr:nvGraphicFramePr>
          <xdr:xfrm>
            <a:off x="0" y="0"/>
            <a:ext cx="0" cy="0"/>
          </xdr:xfrm>
          <a:graphic>
            <a:graphicData uri="http://schemas.microsoft.com/office/drawing/2010/slicer">
              <sle:slicer xmlns:sle="http://schemas.microsoft.com/office/drawing/2010/slicer" name="Item 9"/>
            </a:graphicData>
          </a:graphic>
        </xdr:graphicFrame>
      </mc:Choice>
      <mc:Fallback>
        <xdr:sp macro="" textlink="">
          <xdr:nvSpPr>
            <xdr:cNvPr id="0" name=""/>
            <xdr:cNvSpPr>
              <a:spLocks noTextEdit="1"/>
            </xdr:cNvSpPr>
          </xdr:nvSpPr>
          <xdr:spPr>
            <a:xfrm>
              <a:off x="4140200" y="1511301"/>
              <a:ext cx="7073900" cy="77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444500</xdr:colOff>
      <xdr:row>13</xdr:row>
      <xdr:rowOff>127000</xdr:rowOff>
    </xdr:from>
    <xdr:to>
      <xdr:col>5</xdr:col>
      <xdr:colOff>381000</xdr:colOff>
      <xdr:row>14</xdr:row>
      <xdr:rowOff>88900</xdr:rowOff>
    </xdr:to>
    <xdr:sp macro="" textlink="">
      <xdr:nvSpPr>
        <xdr:cNvPr id="17" name="TextBox 16">
          <a:extLst>
            <a:ext uri="{FF2B5EF4-FFF2-40B4-BE49-F238E27FC236}">
              <a16:creationId xmlns:a16="http://schemas.microsoft.com/office/drawing/2014/main" id="{706F99A2-97C5-994F-8B95-0F49637C4761}"/>
            </a:ext>
          </a:extLst>
        </xdr:cNvPr>
        <xdr:cNvSpPr txBox="1"/>
      </xdr:nvSpPr>
      <xdr:spPr>
        <a:xfrm>
          <a:off x="3302000" y="3263900"/>
          <a:ext cx="1841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SALES</a:t>
          </a:r>
          <a:r>
            <a:rPr lang="en-US" sz="1100" b="1" baseline="0">
              <a:latin typeface="Times New Roman" panose="02020603050405020304" pitchFamily="18" charset="0"/>
              <a:cs typeface="Times New Roman" panose="02020603050405020304" pitchFamily="18" charset="0"/>
            </a:rPr>
            <a:t> BY SALESMAN </a:t>
          </a:r>
          <a:endParaRPr lang="en-US" sz="1100" b="1">
            <a:latin typeface="Times New Roman" panose="02020603050405020304" pitchFamily="18" charset="0"/>
            <a:cs typeface="Times New Roman" panose="02020603050405020304" pitchFamily="18" charset="0"/>
          </a:endParaRPr>
        </a:p>
      </xdr:txBody>
    </xdr:sp>
    <xdr:clientData/>
  </xdr:twoCellAnchor>
  <xdr:twoCellAnchor editAs="oneCell">
    <xdr:from>
      <xdr:col>3</xdr:col>
      <xdr:colOff>254000</xdr:colOff>
      <xdr:row>1</xdr:row>
      <xdr:rowOff>203200</xdr:rowOff>
    </xdr:from>
    <xdr:to>
      <xdr:col>8</xdr:col>
      <xdr:colOff>774700</xdr:colOff>
      <xdr:row>5</xdr:row>
      <xdr:rowOff>165100</xdr:rowOff>
    </xdr:to>
    <mc:AlternateContent xmlns:mc="http://schemas.openxmlformats.org/markup-compatibility/2006">
      <mc:Choice xmlns:tsle="http://schemas.microsoft.com/office/drawing/2012/timeslicer" Requires="tsle">
        <xdr:graphicFrame macro="">
          <xdr:nvGraphicFramePr>
            <xdr:cNvPr id="20" name="Date 7">
              <a:extLst>
                <a:ext uri="{FF2B5EF4-FFF2-40B4-BE49-F238E27FC236}">
                  <a16:creationId xmlns:a16="http://schemas.microsoft.com/office/drawing/2014/main" id="{C91B01AC-6752-124E-A724-8B163B6F8E6A}"/>
                </a:ext>
              </a:extLst>
            </xdr:cNvPr>
            <xdr:cNvGraphicFramePr/>
          </xdr:nvGraphicFramePr>
          <xdr:xfrm>
            <a:off x="0" y="0"/>
            <a:ext cx="0" cy="0"/>
          </xdr:xfrm>
          <a:graphic>
            <a:graphicData uri="http://schemas.microsoft.com/office/drawing/2012/timeslicer">
              <tsle:timeslicer xmlns:tsle="http://schemas.microsoft.com/office/drawing/2012/timeslicer" name="Date 7"/>
            </a:graphicData>
          </a:graphic>
        </xdr:graphicFrame>
      </mc:Choice>
      <mc:Fallback>
        <xdr:sp macro="" textlink="">
          <xdr:nvSpPr>
            <xdr:cNvPr id="0" name=""/>
            <xdr:cNvSpPr>
              <a:spLocks noTextEdit="1"/>
            </xdr:cNvSpPr>
          </xdr:nvSpPr>
          <xdr:spPr>
            <a:xfrm>
              <a:off x="3111500" y="444500"/>
              <a:ext cx="5283200" cy="927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266700</xdr:colOff>
      <xdr:row>14</xdr:row>
      <xdr:rowOff>152400</xdr:rowOff>
    </xdr:from>
    <xdr:to>
      <xdr:col>11</xdr:col>
      <xdr:colOff>596900</xdr:colOff>
      <xdr:row>19</xdr:row>
      <xdr:rowOff>190500</xdr:rowOff>
    </xdr:to>
    <xdr:graphicFrame macro="">
      <xdr:nvGraphicFramePr>
        <xdr:cNvPr id="22" name="Chart 21">
          <a:extLst>
            <a:ext uri="{FF2B5EF4-FFF2-40B4-BE49-F238E27FC236}">
              <a16:creationId xmlns:a16="http://schemas.microsoft.com/office/drawing/2014/main" id="{B0380715-3103-2341-9D1E-EFEA5330B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279400</xdr:colOff>
      <xdr:row>22</xdr:row>
      <xdr:rowOff>139700</xdr:rowOff>
    </xdr:from>
    <xdr:to>
      <xdr:col>12</xdr:col>
      <xdr:colOff>215900</xdr:colOff>
      <xdr:row>27</xdr:row>
      <xdr:rowOff>165100</xdr:rowOff>
    </xdr:to>
    <xdr:graphicFrame macro="">
      <xdr:nvGraphicFramePr>
        <xdr:cNvPr id="23" name="Chart 22">
          <a:extLst>
            <a:ext uri="{FF2B5EF4-FFF2-40B4-BE49-F238E27FC236}">
              <a16:creationId xmlns:a16="http://schemas.microsoft.com/office/drawing/2014/main" id="{23D8A445-7E2E-094D-B1CE-D38CC6F59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254000</xdr:colOff>
      <xdr:row>14</xdr:row>
      <xdr:rowOff>38100</xdr:rowOff>
    </xdr:from>
    <xdr:to>
      <xdr:col>7</xdr:col>
      <xdr:colOff>673100</xdr:colOff>
      <xdr:row>26</xdr:row>
      <xdr:rowOff>190500</xdr:rowOff>
    </xdr:to>
    <xdr:graphicFrame macro="">
      <xdr:nvGraphicFramePr>
        <xdr:cNvPr id="25" name="Chart 24">
          <a:extLst>
            <a:ext uri="{FF2B5EF4-FFF2-40B4-BE49-F238E27FC236}">
              <a16:creationId xmlns:a16="http://schemas.microsoft.com/office/drawing/2014/main" id="{F191661C-B025-3940-9A48-6DE5BD9B8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76200</xdr:colOff>
      <xdr:row>11</xdr:row>
      <xdr:rowOff>12700</xdr:rowOff>
    </xdr:from>
    <xdr:to>
      <xdr:col>5</xdr:col>
      <xdr:colOff>596900</xdr:colOff>
      <xdr:row>12</xdr:row>
      <xdr:rowOff>63500</xdr:rowOff>
    </xdr:to>
    <xdr:sp macro="" textlink="">
      <xdr:nvSpPr>
        <xdr:cNvPr id="26" name="TextBox 25">
          <a:extLst>
            <a:ext uri="{FF2B5EF4-FFF2-40B4-BE49-F238E27FC236}">
              <a16:creationId xmlns:a16="http://schemas.microsoft.com/office/drawing/2014/main" id="{0AF9B2B7-2193-1E40-8C73-E2AFD3C0C7CD}"/>
            </a:ext>
          </a:extLst>
        </xdr:cNvPr>
        <xdr:cNvSpPr txBox="1"/>
      </xdr:nvSpPr>
      <xdr:spPr>
        <a:xfrm>
          <a:off x="3886200" y="2667000"/>
          <a:ext cx="1473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Times New Roman" panose="02020603050405020304" pitchFamily="18" charset="0"/>
              <a:cs typeface="Times New Roman" panose="02020603050405020304" pitchFamily="18" charset="0"/>
            </a:rPr>
            <a:t>ANALYTICS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152400</xdr:colOff>
      <xdr:row>1</xdr:row>
      <xdr:rowOff>38100</xdr:rowOff>
    </xdr:from>
    <xdr:to>
      <xdr:col>12</xdr:col>
      <xdr:colOff>609600</xdr:colOff>
      <xdr:row>28</xdr:row>
      <xdr:rowOff>228600</xdr:rowOff>
    </xdr:to>
    <xdr:sp macro="" textlink="">
      <xdr:nvSpPr>
        <xdr:cNvPr id="2" name="Rounded Rectangle 1">
          <a:extLst>
            <a:ext uri="{FF2B5EF4-FFF2-40B4-BE49-F238E27FC236}">
              <a16:creationId xmlns:a16="http://schemas.microsoft.com/office/drawing/2014/main" id="{D5003588-58E8-454E-BB6E-12761BF08A20}"/>
            </a:ext>
          </a:extLst>
        </xdr:cNvPr>
        <xdr:cNvSpPr/>
      </xdr:nvSpPr>
      <xdr:spPr>
        <a:xfrm>
          <a:off x="1104900" y="279400"/>
          <a:ext cx="10934700" cy="6705600"/>
        </a:xfrm>
        <a:prstGeom prst="roundRect">
          <a:avLst>
            <a:gd name="adj" fmla="val 43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63500</xdr:colOff>
      <xdr:row>1</xdr:row>
      <xdr:rowOff>38100</xdr:rowOff>
    </xdr:from>
    <xdr:to>
      <xdr:col>12</xdr:col>
      <xdr:colOff>596900</xdr:colOff>
      <xdr:row>28</xdr:row>
      <xdr:rowOff>228600</xdr:rowOff>
    </xdr:to>
    <xdr:sp macro="" textlink="">
      <xdr:nvSpPr>
        <xdr:cNvPr id="3" name="Rounded Rectangle 2">
          <a:extLst>
            <a:ext uri="{FF2B5EF4-FFF2-40B4-BE49-F238E27FC236}">
              <a16:creationId xmlns:a16="http://schemas.microsoft.com/office/drawing/2014/main" id="{5BD5CA31-2D90-8A47-AF4F-AE40115C91B2}"/>
            </a:ext>
          </a:extLst>
        </xdr:cNvPr>
        <xdr:cNvSpPr/>
      </xdr:nvSpPr>
      <xdr:spPr>
        <a:xfrm>
          <a:off x="2921000" y="279400"/>
          <a:ext cx="9105900" cy="6705600"/>
        </a:xfrm>
        <a:prstGeom prst="roundRect">
          <a:avLst>
            <a:gd name="adj" fmla="val 435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419100</xdr:colOff>
      <xdr:row>10</xdr:row>
      <xdr:rowOff>127000</xdr:rowOff>
    </xdr:from>
    <xdr:to>
      <xdr:col>4</xdr:col>
      <xdr:colOff>0</xdr:colOff>
      <xdr:row>12</xdr:row>
      <xdr:rowOff>177800</xdr:rowOff>
    </xdr:to>
    <xdr:pic>
      <xdr:nvPicPr>
        <xdr:cNvPr id="4" name="Graphic 3" descr="Bar chart outline">
          <a:extLst>
            <a:ext uri="{FF2B5EF4-FFF2-40B4-BE49-F238E27FC236}">
              <a16:creationId xmlns:a16="http://schemas.microsoft.com/office/drawing/2014/main" id="{EB35F557-2F33-8347-8805-762A25E13ED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76600" y="2540000"/>
          <a:ext cx="533400" cy="533400"/>
        </a:xfrm>
        <a:prstGeom prst="rect">
          <a:avLst/>
        </a:prstGeom>
      </xdr:spPr>
    </xdr:pic>
    <xdr:clientData/>
  </xdr:twoCellAnchor>
  <xdr:twoCellAnchor>
    <xdr:from>
      <xdr:col>3</xdr:col>
      <xdr:colOff>152400</xdr:colOff>
      <xdr:row>13</xdr:row>
      <xdr:rowOff>0</xdr:rowOff>
    </xdr:from>
    <xdr:to>
      <xdr:col>12</xdr:col>
      <xdr:colOff>469900</xdr:colOff>
      <xdr:row>27</xdr:row>
      <xdr:rowOff>190500</xdr:rowOff>
    </xdr:to>
    <xdr:sp macro="" textlink="">
      <xdr:nvSpPr>
        <xdr:cNvPr id="7" name="Rounded Rectangle 6">
          <a:extLst>
            <a:ext uri="{FF2B5EF4-FFF2-40B4-BE49-F238E27FC236}">
              <a16:creationId xmlns:a16="http://schemas.microsoft.com/office/drawing/2014/main" id="{A2BE57F7-2BFB-6541-B92F-10E8A643D72C}"/>
            </a:ext>
          </a:extLst>
        </xdr:cNvPr>
        <xdr:cNvSpPr/>
      </xdr:nvSpPr>
      <xdr:spPr>
        <a:xfrm>
          <a:off x="3009900" y="3136900"/>
          <a:ext cx="8890000" cy="3568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596900</xdr:colOff>
      <xdr:row>13</xdr:row>
      <xdr:rowOff>139700</xdr:rowOff>
    </xdr:from>
    <xdr:to>
      <xdr:col>5</xdr:col>
      <xdr:colOff>203200</xdr:colOff>
      <xdr:row>14</xdr:row>
      <xdr:rowOff>114300</xdr:rowOff>
    </xdr:to>
    <xdr:sp macro="" textlink="">
      <xdr:nvSpPr>
        <xdr:cNvPr id="8" name="TextBox 7">
          <a:extLst>
            <a:ext uri="{FF2B5EF4-FFF2-40B4-BE49-F238E27FC236}">
              <a16:creationId xmlns:a16="http://schemas.microsoft.com/office/drawing/2014/main" id="{4F9148C1-D4C0-8642-A2C9-F1E82D76618F}"/>
            </a:ext>
          </a:extLst>
        </xdr:cNvPr>
        <xdr:cNvSpPr txBox="1"/>
      </xdr:nvSpPr>
      <xdr:spPr>
        <a:xfrm>
          <a:off x="3454400" y="3276600"/>
          <a:ext cx="15113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9</xdr:row>
      <xdr:rowOff>215900</xdr:rowOff>
    </xdr:from>
    <xdr:to>
      <xdr:col>3</xdr:col>
      <xdr:colOff>38100</xdr:colOff>
      <xdr:row>11</xdr:row>
      <xdr:rowOff>228600</xdr:rowOff>
    </xdr:to>
    <xdr:sp macro="" textlink="">
      <xdr:nvSpPr>
        <xdr:cNvPr id="11" name="Rounded Rectangle 10">
          <a:hlinkClick xmlns:r="http://schemas.openxmlformats.org/officeDocument/2006/relationships" r:id="rId3"/>
          <a:extLst>
            <a:ext uri="{FF2B5EF4-FFF2-40B4-BE49-F238E27FC236}">
              <a16:creationId xmlns:a16="http://schemas.microsoft.com/office/drawing/2014/main" id="{7F4287B5-98B7-004A-B4C0-62D5A18D4B74}"/>
            </a:ext>
          </a:extLst>
        </xdr:cNvPr>
        <xdr:cNvSpPr/>
      </xdr:nvSpPr>
      <xdr:spPr>
        <a:xfrm>
          <a:off x="1257300" y="2387600"/>
          <a:ext cx="1638300" cy="49530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DASHBOARD</a:t>
          </a:r>
        </a:p>
      </xdr:txBody>
    </xdr:sp>
    <xdr:clientData/>
  </xdr:twoCellAnchor>
  <xdr:twoCellAnchor>
    <xdr:from>
      <xdr:col>1</xdr:col>
      <xdr:colOff>279400</xdr:colOff>
      <xdr:row>12</xdr:row>
      <xdr:rowOff>152400</xdr:rowOff>
    </xdr:from>
    <xdr:to>
      <xdr:col>2</xdr:col>
      <xdr:colOff>939800</xdr:colOff>
      <xdr:row>14</xdr:row>
      <xdr:rowOff>165100</xdr:rowOff>
    </xdr:to>
    <xdr:sp macro="" textlink="">
      <xdr:nvSpPr>
        <xdr:cNvPr id="12" name="Rounded Rectangle 11">
          <a:hlinkClick xmlns:r="http://schemas.openxmlformats.org/officeDocument/2006/relationships" r:id="rId4"/>
          <a:extLst>
            <a:ext uri="{FF2B5EF4-FFF2-40B4-BE49-F238E27FC236}">
              <a16:creationId xmlns:a16="http://schemas.microsoft.com/office/drawing/2014/main" id="{A78B8E25-AF13-F440-AD24-240C16DA7593}"/>
            </a:ext>
          </a:extLst>
        </xdr:cNvPr>
        <xdr:cNvSpPr/>
      </xdr:nvSpPr>
      <xdr:spPr>
        <a:xfrm>
          <a:off x="1231900" y="3048000"/>
          <a:ext cx="1612900" cy="49530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PRODUCTS</a:t>
          </a:r>
        </a:p>
      </xdr:txBody>
    </xdr:sp>
    <xdr:clientData/>
  </xdr:twoCellAnchor>
  <xdr:twoCellAnchor>
    <xdr:from>
      <xdr:col>1</xdr:col>
      <xdr:colOff>279400</xdr:colOff>
      <xdr:row>15</xdr:row>
      <xdr:rowOff>38100</xdr:rowOff>
    </xdr:from>
    <xdr:to>
      <xdr:col>2</xdr:col>
      <xdr:colOff>939800</xdr:colOff>
      <xdr:row>17</xdr:row>
      <xdr:rowOff>50800</xdr:rowOff>
    </xdr:to>
    <xdr:sp macro="" textlink="">
      <xdr:nvSpPr>
        <xdr:cNvPr id="13" name="Rounded Rectangle 12">
          <a:hlinkClick xmlns:r="http://schemas.openxmlformats.org/officeDocument/2006/relationships" r:id="rId5"/>
          <a:extLst>
            <a:ext uri="{FF2B5EF4-FFF2-40B4-BE49-F238E27FC236}">
              <a16:creationId xmlns:a16="http://schemas.microsoft.com/office/drawing/2014/main" id="{FF4A1FB9-6C71-454C-B6E5-FDC766674E98}"/>
            </a:ext>
          </a:extLst>
        </xdr:cNvPr>
        <xdr:cNvSpPr/>
      </xdr:nvSpPr>
      <xdr:spPr>
        <a:xfrm>
          <a:off x="1231900" y="3657600"/>
          <a:ext cx="1612900" cy="49530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Times New Roman" panose="02020603050405020304" pitchFamily="18" charset="0"/>
              <a:cs typeface="Times New Roman" panose="02020603050405020304" pitchFamily="18" charset="0"/>
            </a:rPr>
            <a:t>SALESMAN</a:t>
          </a:r>
        </a:p>
      </xdr:txBody>
    </xdr:sp>
    <xdr:clientData/>
  </xdr:twoCellAnchor>
  <xdr:twoCellAnchor>
    <xdr:from>
      <xdr:col>1</xdr:col>
      <xdr:colOff>279400</xdr:colOff>
      <xdr:row>17</xdr:row>
      <xdr:rowOff>165100</xdr:rowOff>
    </xdr:from>
    <xdr:to>
      <xdr:col>2</xdr:col>
      <xdr:colOff>939800</xdr:colOff>
      <xdr:row>19</xdr:row>
      <xdr:rowOff>177800</xdr:rowOff>
    </xdr:to>
    <xdr:sp macro="" textlink="">
      <xdr:nvSpPr>
        <xdr:cNvPr id="14" name="Rounded Rectangle 13">
          <a:extLst>
            <a:ext uri="{FF2B5EF4-FFF2-40B4-BE49-F238E27FC236}">
              <a16:creationId xmlns:a16="http://schemas.microsoft.com/office/drawing/2014/main" id="{AF26AA76-6956-D649-9A76-20507E20C1A7}"/>
            </a:ext>
          </a:extLst>
        </xdr:cNvPr>
        <xdr:cNvSpPr/>
      </xdr:nvSpPr>
      <xdr:spPr>
        <a:xfrm>
          <a:off x="1231900" y="4267200"/>
          <a:ext cx="1612900" cy="49530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75000"/>
                </a:schemeClr>
              </a:solidFill>
              <a:latin typeface="Times New Roman" panose="02020603050405020304" pitchFamily="18" charset="0"/>
              <a:cs typeface="Times New Roman" panose="02020603050405020304" pitchFamily="18" charset="0"/>
            </a:rPr>
            <a:t>ABOUT</a:t>
          </a:r>
        </a:p>
      </xdr:txBody>
    </xdr:sp>
    <xdr:clientData/>
  </xdr:twoCellAnchor>
  <xdr:twoCellAnchor editAs="oneCell">
    <xdr:from>
      <xdr:col>8</xdr:col>
      <xdr:colOff>863600</xdr:colOff>
      <xdr:row>1</xdr:row>
      <xdr:rowOff>127000</xdr:rowOff>
    </xdr:from>
    <xdr:to>
      <xdr:col>12</xdr:col>
      <xdr:colOff>533400</xdr:colOff>
      <xdr:row>5</xdr:row>
      <xdr:rowOff>203200</xdr:rowOff>
    </xdr:to>
    <mc:AlternateContent xmlns:mc="http://schemas.openxmlformats.org/markup-compatibility/2006">
      <mc:Choice xmlns:a14="http://schemas.microsoft.com/office/drawing/2010/main" Requires="a14">
        <xdr:graphicFrame macro="">
          <xdr:nvGraphicFramePr>
            <xdr:cNvPr id="15" name="Region 10">
              <a:extLst>
                <a:ext uri="{FF2B5EF4-FFF2-40B4-BE49-F238E27FC236}">
                  <a16:creationId xmlns:a16="http://schemas.microsoft.com/office/drawing/2014/main" id="{A6C0BC64-D9A6-8144-AB5C-0E74DE5CD6CC}"/>
                </a:ext>
              </a:extLst>
            </xdr:cNvPr>
            <xdr:cNvGraphicFramePr/>
          </xdr:nvGraphicFramePr>
          <xdr:xfrm>
            <a:off x="0" y="0"/>
            <a:ext cx="0" cy="0"/>
          </xdr:xfrm>
          <a:graphic>
            <a:graphicData uri="http://schemas.microsoft.com/office/drawing/2010/slicer">
              <sle:slicer xmlns:sle="http://schemas.microsoft.com/office/drawing/2010/slicer" name="Region 10"/>
            </a:graphicData>
          </a:graphic>
        </xdr:graphicFrame>
      </mc:Choice>
      <mc:Fallback>
        <xdr:sp macro="" textlink="">
          <xdr:nvSpPr>
            <xdr:cNvPr id="0" name=""/>
            <xdr:cNvSpPr>
              <a:spLocks noTextEdit="1"/>
            </xdr:cNvSpPr>
          </xdr:nvSpPr>
          <xdr:spPr>
            <a:xfrm>
              <a:off x="8483600" y="368300"/>
              <a:ext cx="347980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330200</xdr:colOff>
      <xdr:row>6</xdr:row>
      <xdr:rowOff>63501</xdr:rowOff>
    </xdr:from>
    <xdr:to>
      <xdr:col>11</xdr:col>
      <xdr:colOff>736600</xdr:colOff>
      <xdr:row>9</xdr:row>
      <xdr:rowOff>114301</xdr:rowOff>
    </xdr:to>
    <mc:AlternateContent xmlns:mc="http://schemas.openxmlformats.org/markup-compatibility/2006">
      <mc:Choice xmlns:a14="http://schemas.microsoft.com/office/drawing/2010/main" Requires="a14">
        <xdr:graphicFrame macro="">
          <xdr:nvGraphicFramePr>
            <xdr:cNvPr id="16" name="Item 10">
              <a:extLst>
                <a:ext uri="{FF2B5EF4-FFF2-40B4-BE49-F238E27FC236}">
                  <a16:creationId xmlns:a16="http://schemas.microsoft.com/office/drawing/2014/main" id="{B973D62A-891A-324E-896E-CF47D8E8D840}"/>
                </a:ext>
              </a:extLst>
            </xdr:cNvPr>
            <xdr:cNvGraphicFramePr/>
          </xdr:nvGraphicFramePr>
          <xdr:xfrm>
            <a:off x="0" y="0"/>
            <a:ext cx="0" cy="0"/>
          </xdr:xfrm>
          <a:graphic>
            <a:graphicData uri="http://schemas.microsoft.com/office/drawing/2010/slicer">
              <sle:slicer xmlns:sle="http://schemas.microsoft.com/office/drawing/2010/slicer" name="Item 10"/>
            </a:graphicData>
          </a:graphic>
        </xdr:graphicFrame>
      </mc:Choice>
      <mc:Fallback>
        <xdr:sp macro="" textlink="">
          <xdr:nvSpPr>
            <xdr:cNvPr id="0" name=""/>
            <xdr:cNvSpPr>
              <a:spLocks noTextEdit="1"/>
            </xdr:cNvSpPr>
          </xdr:nvSpPr>
          <xdr:spPr>
            <a:xfrm>
              <a:off x="4140200" y="1511301"/>
              <a:ext cx="7073900" cy="77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254000</xdr:colOff>
      <xdr:row>1</xdr:row>
      <xdr:rowOff>203200</xdr:rowOff>
    </xdr:from>
    <xdr:to>
      <xdr:col>8</xdr:col>
      <xdr:colOff>774700</xdr:colOff>
      <xdr:row>5</xdr:row>
      <xdr:rowOff>165100</xdr:rowOff>
    </xdr:to>
    <mc:AlternateContent xmlns:mc="http://schemas.openxmlformats.org/markup-compatibility/2006">
      <mc:Choice xmlns:tsle="http://schemas.microsoft.com/office/drawing/2012/timeslicer" Requires="tsle">
        <xdr:graphicFrame macro="">
          <xdr:nvGraphicFramePr>
            <xdr:cNvPr id="18" name="Date 8">
              <a:extLst>
                <a:ext uri="{FF2B5EF4-FFF2-40B4-BE49-F238E27FC236}">
                  <a16:creationId xmlns:a16="http://schemas.microsoft.com/office/drawing/2014/main" id="{14C032E4-3116-7A4F-B2F6-A3AA7D027D1F}"/>
                </a:ext>
              </a:extLst>
            </xdr:cNvPr>
            <xdr:cNvGraphicFramePr/>
          </xdr:nvGraphicFramePr>
          <xdr:xfrm>
            <a:off x="0" y="0"/>
            <a:ext cx="0" cy="0"/>
          </xdr:xfrm>
          <a:graphic>
            <a:graphicData uri="http://schemas.microsoft.com/office/drawing/2012/timeslicer">
              <tsle:timeslicer xmlns:tsle="http://schemas.microsoft.com/office/drawing/2012/timeslicer" name="Date 8"/>
            </a:graphicData>
          </a:graphic>
        </xdr:graphicFrame>
      </mc:Choice>
      <mc:Fallback>
        <xdr:sp macro="" textlink="">
          <xdr:nvSpPr>
            <xdr:cNvPr id="0" name=""/>
            <xdr:cNvSpPr>
              <a:spLocks noTextEdit="1"/>
            </xdr:cNvSpPr>
          </xdr:nvSpPr>
          <xdr:spPr>
            <a:xfrm>
              <a:off x="3111500" y="444500"/>
              <a:ext cx="5283200" cy="927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63500</xdr:colOff>
      <xdr:row>11</xdr:row>
      <xdr:rowOff>12700</xdr:rowOff>
    </xdr:from>
    <xdr:to>
      <xdr:col>5</xdr:col>
      <xdr:colOff>406400</xdr:colOff>
      <xdr:row>12</xdr:row>
      <xdr:rowOff>76200</xdr:rowOff>
    </xdr:to>
    <xdr:sp macro="" textlink="">
      <xdr:nvSpPr>
        <xdr:cNvPr id="22" name="TextBox 21">
          <a:extLst>
            <a:ext uri="{FF2B5EF4-FFF2-40B4-BE49-F238E27FC236}">
              <a16:creationId xmlns:a16="http://schemas.microsoft.com/office/drawing/2014/main" id="{D751FDFD-1495-1123-A9D3-1C8E455ED2B8}"/>
            </a:ext>
          </a:extLst>
        </xdr:cNvPr>
        <xdr:cNvSpPr txBox="1"/>
      </xdr:nvSpPr>
      <xdr:spPr>
        <a:xfrm>
          <a:off x="3873500" y="266700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Times New Roman" panose="02020603050405020304" pitchFamily="18" charset="0"/>
              <a:cs typeface="Times New Roman" panose="02020603050405020304" pitchFamily="18" charset="0"/>
            </a:rPr>
            <a:t>ABOUT</a:t>
          </a:r>
        </a:p>
      </xdr:txBody>
    </xdr:sp>
    <xdr:clientData/>
  </xdr:twoCellAnchor>
  <xdr:twoCellAnchor>
    <xdr:from>
      <xdr:col>3</xdr:col>
      <xdr:colOff>546100</xdr:colOff>
      <xdr:row>13</xdr:row>
      <xdr:rowOff>127000</xdr:rowOff>
    </xdr:from>
    <xdr:to>
      <xdr:col>12</xdr:col>
      <xdr:colOff>127000</xdr:colOff>
      <xdr:row>27</xdr:row>
      <xdr:rowOff>25400</xdr:rowOff>
    </xdr:to>
    <xdr:sp macro="" textlink="">
      <xdr:nvSpPr>
        <xdr:cNvPr id="23" name="TextBox 22">
          <a:extLst>
            <a:ext uri="{FF2B5EF4-FFF2-40B4-BE49-F238E27FC236}">
              <a16:creationId xmlns:a16="http://schemas.microsoft.com/office/drawing/2014/main" id="{6D6E6DFB-9C8B-EB1B-DB11-44121CDF3419}"/>
            </a:ext>
          </a:extLst>
        </xdr:cNvPr>
        <xdr:cNvSpPr txBox="1"/>
      </xdr:nvSpPr>
      <xdr:spPr>
        <a:xfrm>
          <a:off x="3403600" y="3263900"/>
          <a:ext cx="8153400" cy="3276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atin typeface="Times New Roman" panose="02020603050405020304" pitchFamily="18" charset="0"/>
              <a:cs typeface="Times New Roman" panose="02020603050405020304" pitchFamily="18" charset="0"/>
            </a:rPr>
            <a:t>PRODUCT DEVELOPER:</a:t>
          </a:r>
        </a:p>
        <a:p>
          <a:r>
            <a:rPr lang="en-US" sz="2000">
              <a:latin typeface="Times New Roman" panose="02020603050405020304" pitchFamily="18" charset="0"/>
              <a:cs typeface="Times New Roman" panose="02020603050405020304" pitchFamily="18" charset="0"/>
            </a:rPr>
            <a:t>CREATED BY:</a:t>
          </a:r>
          <a:r>
            <a:rPr lang="en-US" sz="2000" baseline="0">
              <a:latin typeface="Times New Roman" panose="02020603050405020304" pitchFamily="18" charset="0"/>
              <a:cs typeface="Times New Roman" panose="02020603050405020304" pitchFamily="18" charset="0"/>
            </a:rPr>
            <a:t> </a:t>
          </a:r>
          <a:r>
            <a:rPr lang="en-US" sz="2000" i="1" baseline="0">
              <a:solidFill>
                <a:schemeClr val="accent2"/>
              </a:solidFill>
              <a:latin typeface="Times New Roman" panose="02020603050405020304" pitchFamily="18" charset="0"/>
              <a:cs typeface="Times New Roman" panose="02020603050405020304" pitchFamily="18" charset="0"/>
            </a:rPr>
            <a:t>REEYAN POUDYAL</a:t>
          </a:r>
        </a:p>
        <a:p>
          <a:endParaRPr lang="en-US" sz="2400" i="1" baseline="0">
            <a:latin typeface="Times New Roman" panose="02020603050405020304" pitchFamily="18" charset="0"/>
            <a:cs typeface="Times New Roman" panose="02020603050405020304" pitchFamily="18" charset="0"/>
          </a:endParaRPr>
        </a:p>
        <a:p>
          <a:endParaRPr lang="en-US" sz="2400" i="1" baseline="0">
            <a:latin typeface="Times New Roman" panose="02020603050405020304" pitchFamily="18" charset="0"/>
            <a:cs typeface="Times New Roman" panose="02020603050405020304" pitchFamily="18" charset="0"/>
          </a:endParaRPr>
        </a:p>
        <a:p>
          <a:endParaRPr lang="en-US" sz="2400" i="1" baseline="0">
            <a:latin typeface="Times New Roman" panose="02020603050405020304" pitchFamily="18" charset="0"/>
            <a:cs typeface="Times New Roman" panose="02020603050405020304" pitchFamily="18" charset="0"/>
          </a:endParaRPr>
        </a:p>
        <a:p>
          <a:endParaRPr lang="en-US" sz="2400" i="1" baseline="0">
            <a:latin typeface="Times New Roman" panose="02020603050405020304" pitchFamily="18" charset="0"/>
            <a:cs typeface="Times New Roman" panose="02020603050405020304" pitchFamily="18" charset="0"/>
          </a:endParaRPr>
        </a:p>
        <a:p>
          <a:endParaRPr lang="en-US" sz="2400" i="1" baseline="0">
            <a:latin typeface="Times New Roman" panose="02020603050405020304" pitchFamily="18" charset="0"/>
            <a:cs typeface="Times New Roman" panose="02020603050405020304" pitchFamily="18" charset="0"/>
          </a:endParaRPr>
        </a:p>
        <a:p>
          <a:r>
            <a:rPr lang="en-US" sz="2400" i="0" baseline="0">
              <a:latin typeface="Times New Roman" panose="02020603050405020304" pitchFamily="18" charset="0"/>
              <a:cs typeface="Times New Roman" panose="02020603050405020304" pitchFamily="18" charset="0"/>
            </a:rPr>
            <a:t>VERSION: </a:t>
          </a:r>
        </a:p>
        <a:p>
          <a:r>
            <a:rPr lang="en-US" sz="2000" i="0" baseline="0">
              <a:latin typeface="Times New Roman" panose="02020603050405020304" pitchFamily="18" charset="0"/>
              <a:cs typeface="Times New Roman" panose="02020603050405020304" pitchFamily="18" charset="0"/>
            </a:rPr>
            <a:t>This project is created in EXCEL 2024 (Latest) Version</a:t>
          </a:r>
          <a:endParaRPr lang="en-US" sz="2000" i="0">
            <a:latin typeface="Times New Roman" panose="02020603050405020304" pitchFamily="18" charset="0"/>
            <a:cs typeface="Times New Roman" panose="02020603050405020304"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8</xdr:row>
      <xdr:rowOff>228601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8FBD2B-5877-CB49-A944-CC3F6D61FFB2}"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62:B66"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4">
    <i>
      <x v="1"/>
    </i>
    <i>
      <x v="2"/>
    </i>
    <i>
      <x v="3"/>
    </i>
    <i t="grand">
      <x/>
    </i>
  </rowItems>
  <colItems count="1">
    <i/>
  </colItems>
  <dataFields count="1">
    <dataField name="Sum of Qty" fld="5" baseField="0" baseItem="0" numFmtId="164"/>
  </dataFields>
  <formats count="5">
    <format dxfId="3923">
      <pivotArea type="all" dataOnly="0" outline="0" fieldPosition="0"/>
    </format>
    <format dxfId="3924">
      <pivotArea outline="0" collapsedLevelsAreSubtotals="1" fieldPosition="0"/>
    </format>
    <format dxfId="3925">
      <pivotArea field="4" type="button" dataOnly="0" labelOnly="1" outline="0" axis="axisRow" fieldPosition="0"/>
    </format>
    <format dxfId="3926">
      <pivotArea dataOnly="0" labelOnly="1" grandRow="1" outline="0" fieldPosition="0"/>
    </format>
    <format dxfId="3927">
      <pivotArea dataOnly="0" labelOnly="1" outline="0" axis="axisValues" fieldPosition="0"/>
    </format>
  </formats>
  <chartFormats count="1">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CDFB33-68C0-4E41-9D60-5AFEE04F5CA0}" name="PivotTable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75:B82"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7">
    <i>
      <x/>
    </i>
    <i>
      <x v="1"/>
    </i>
    <i>
      <x v="2"/>
    </i>
    <i>
      <x v="3"/>
    </i>
    <i>
      <x v="4"/>
    </i>
    <i>
      <x v="5"/>
    </i>
    <i t="grand">
      <x/>
    </i>
  </rowItems>
  <colItems count="1">
    <i/>
  </colItems>
  <dataFields count="1">
    <dataField name="Sum of Qty" fld="5" baseField="0" baseItem="0" numFmtId="164"/>
  </dataFields>
  <formats count="5">
    <format dxfId="3918">
      <pivotArea type="all" dataOnly="0" outline="0" fieldPosition="0"/>
    </format>
    <format dxfId="3919">
      <pivotArea outline="0" collapsedLevelsAreSubtotals="1" fieldPosition="0"/>
    </format>
    <format dxfId="3920">
      <pivotArea field="4" type="button" dataOnly="0" labelOnly="1" outline="0" axis="axisRow" fieldPosition="0"/>
    </format>
    <format dxfId="3921">
      <pivotArea dataOnly="0" labelOnly="1" grandRow="1" outline="0" fieldPosition="0"/>
    </format>
    <format dxfId="3922">
      <pivotArea dataOnly="0" labelOnly="1" outline="0" axis="axisValues"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845DFC-DCCB-954D-B5D2-F0F1E295CC09}" name="PivotTable1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A96:B103"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h="1" x="5"/>
        <item h="1" x="2"/>
        <item x="0"/>
        <item h="1" x="1"/>
        <item h="1" x="3"/>
        <item h="1"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7">
    <i>
      <x/>
    </i>
    <i>
      <x v="1"/>
    </i>
    <i>
      <x v="2"/>
    </i>
    <i>
      <x v="3"/>
    </i>
    <i>
      <x v="4"/>
    </i>
    <i>
      <x v="5"/>
    </i>
    <i t="grand">
      <x/>
    </i>
  </rowItems>
  <colItems count="1">
    <i/>
  </colItems>
  <dataFields count="1">
    <dataField name="Sum of Amount" fld="7" baseField="0" baseItem="0" numFmtId="164"/>
  </dataFields>
  <formats count="5">
    <format dxfId="3913">
      <pivotArea type="all" dataOnly="0" outline="0" fieldPosition="0"/>
    </format>
    <format dxfId="3914">
      <pivotArea outline="0" collapsedLevelsAreSubtotals="1" fieldPosition="0"/>
    </format>
    <format dxfId="3915">
      <pivotArea field="4" type="button" dataOnly="0" labelOnly="1" outline="0"/>
    </format>
    <format dxfId="3916">
      <pivotArea dataOnly="0" labelOnly="1" grandRow="1" outline="0" fieldPosition="0"/>
    </format>
    <format dxfId="3917">
      <pivotArea dataOnly="0" labelOnly="1" outline="0" axis="axisValues" fieldPosition="0"/>
    </format>
  </formats>
  <chartFormats count="1">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871958-29C5-C145-90DF-7AC8A0F04418}" name="PivotTable1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D84:E88"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h="1" x="5"/>
        <item h="1" x="2"/>
        <item x="0"/>
        <item h="1" x="1"/>
        <item h="1" x="3"/>
        <item h="1"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i>
    <i>
      <x v="5"/>
    </i>
    <i>
      <x v="4"/>
    </i>
    <i t="grand">
      <x/>
    </i>
  </rowItems>
  <colItems count="1">
    <i/>
  </colItems>
  <dataFields count="1">
    <dataField name="Sum of Qty" fld="5" baseField="0" baseItem="0" numFmtId="164"/>
  </dataFields>
  <formats count="5">
    <format dxfId="3867">
      <pivotArea type="all" dataOnly="0" outline="0" fieldPosition="0"/>
    </format>
    <format dxfId="3868">
      <pivotArea outline="0" collapsedLevelsAreSubtotals="1" fieldPosition="0"/>
    </format>
    <format dxfId="3869">
      <pivotArea field="4" type="button" dataOnly="0" labelOnly="1" outline="0"/>
    </format>
    <format dxfId="3870">
      <pivotArea dataOnly="0" labelOnly="1" grandRow="1" outline="0" fieldPosition="0"/>
    </format>
    <format dxfId="3871">
      <pivotArea dataOnly="0" labelOnly="1" outline="0" axis="axisValues" fieldPosition="0"/>
    </format>
  </formats>
  <chartFormats count="4">
    <chartFormat chart="32"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9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FC44A6-BD68-3646-A3BA-F861A2D4F8B8}" name="PivotTable1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90:B94"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h="1" x="5"/>
        <item h="1" x="2"/>
        <item x="0"/>
        <item h="1" x="1"/>
        <item h="1" x="3"/>
        <item h="1"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v="1"/>
    </i>
    <i>
      <x v="3"/>
    </i>
    <i>
      <x v="2"/>
    </i>
    <i t="grand">
      <x/>
    </i>
  </rowItems>
  <colItems count="1">
    <i/>
  </colItems>
  <dataFields count="1">
    <dataField name="Sum of Qty" fld="5" baseField="0" baseItem="0" numFmtId="164"/>
  </dataFields>
  <formats count="5">
    <format dxfId="3872">
      <pivotArea type="all" dataOnly="0" outline="0" fieldPosition="0"/>
    </format>
    <format dxfId="3873">
      <pivotArea outline="0" collapsedLevelsAreSubtotals="1" fieldPosition="0"/>
    </format>
    <format dxfId="3874">
      <pivotArea field="4" type="button" dataOnly="0" labelOnly="1" outline="0"/>
    </format>
    <format dxfId="3875">
      <pivotArea dataOnly="0" labelOnly="1" grandRow="1" outline="0" fieldPosition="0"/>
    </format>
    <format dxfId="3876">
      <pivotArea dataOnly="0" labelOnly="1" outline="0" axis="axisValues" fieldPosition="0"/>
    </format>
  </formats>
  <chartFormats count="4">
    <chartFormat chart="26"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96"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89BAF5-C38F-DA4C-A03C-AFB478D4A9C8}" name="PivotTable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68:B72"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4">
    <i>
      <x v="4"/>
    </i>
    <i>
      <x v="5"/>
    </i>
    <i>
      <x/>
    </i>
    <i t="grand">
      <x/>
    </i>
  </rowItems>
  <colItems count="1">
    <i/>
  </colItems>
  <dataFields count="1">
    <dataField name="Sum of Qty" fld="5" baseField="0" baseItem="0" numFmtId="164"/>
  </dataFields>
  <formats count="5">
    <format dxfId="3877">
      <pivotArea type="all" dataOnly="0" outline="0" fieldPosition="0"/>
    </format>
    <format dxfId="3878">
      <pivotArea outline="0" collapsedLevelsAreSubtotals="1" fieldPosition="0"/>
    </format>
    <format dxfId="3879">
      <pivotArea field="4" type="button" dataOnly="0" labelOnly="1" outline="0" axis="axisRow" fieldPosition="0"/>
    </format>
    <format dxfId="3880">
      <pivotArea dataOnly="0" labelOnly="1" grandRow="1" outline="0" fieldPosition="0"/>
    </format>
    <format dxfId="3881">
      <pivotArea dataOnly="0" labelOnly="1"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6"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3908DC-CBF8-854D-A3BF-4DC64A8D35E4}"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59:A60"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h="1" x="5"/>
        <item h="1" x="2"/>
        <item x="0"/>
        <item h="1" x="1"/>
        <item h="1" x="3"/>
        <item h="1"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Count of Amount" fld="7" subtotal="count" baseField="0" baseItem="0" numFmtId="1"/>
  </dataFields>
  <formats count="6">
    <format dxfId="3882">
      <pivotArea type="all" dataOnly="0" outline="0" fieldPosition="0"/>
    </format>
    <format dxfId="3883">
      <pivotArea outline="0" collapsedLevelsAreSubtotals="1" fieldPosition="0"/>
    </format>
    <format dxfId="3884">
      <pivotArea field="4" type="button" dataOnly="0" labelOnly="1" outline="0"/>
    </format>
    <format dxfId="3885">
      <pivotArea dataOnly="0" labelOnly="1" grandRow="1" outline="0" fieldPosition="0"/>
    </format>
    <format dxfId="3886">
      <pivotArea dataOnly="0" labelOnly="1" outline="0" axis="axisValues" fieldPosition="0"/>
    </format>
    <format dxfId="3887">
      <pivotArea outline="0" fieldPosition="0">
        <references count="1">
          <reference field="4294967294" count="1">
            <x v="0"/>
          </reference>
        </references>
      </pivotArea>
    </format>
  </formats>
  <chartFormats count="6">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9CDD90-A66C-C54F-8D8C-0439A45ABEC9}"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55:A56"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h="1" x="5"/>
        <item h="1" x="2"/>
        <item x="0"/>
        <item h="1" x="1"/>
        <item h="1" x="3"/>
        <item h="1"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Amount" fld="7" baseField="0" baseItem="0" numFmtId="1"/>
  </dataFields>
  <formats count="6">
    <format dxfId="3888">
      <pivotArea type="all" dataOnly="0" outline="0" fieldPosition="0"/>
    </format>
    <format dxfId="3889">
      <pivotArea outline="0" collapsedLevelsAreSubtotals="1" fieldPosition="0"/>
    </format>
    <format dxfId="3890">
      <pivotArea field="4" type="button" dataOnly="0" labelOnly="1" outline="0"/>
    </format>
    <format dxfId="3891">
      <pivotArea dataOnly="0" labelOnly="1" grandRow="1" outline="0" fieldPosition="0"/>
    </format>
    <format dxfId="3892">
      <pivotArea dataOnly="0" labelOnly="1" outline="0" axis="axisValues" fieldPosition="0"/>
    </format>
    <format dxfId="3893">
      <pivotArea outline="0" fieldPosition="0">
        <references count="1">
          <reference field="4294967294" count="1">
            <x v="0"/>
          </reference>
        </references>
      </pivotArea>
    </format>
  </formats>
  <chartFormats count="6">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15ACF6-5138-224A-91A3-DFA87C1E020C}"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44:B46"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items count="7">
        <item h="1" x="5"/>
        <item h="1" x="2"/>
        <item x="0"/>
        <item h="1" x="1"/>
        <item h="1" x="3"/>
        <item h="1"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2">
    <i>
      <x v="2"/>
    </i>
    <i t="grand">
      <x/>
    </i>
  </rowItems>
  <colItems count="1">
    <i/>
  </colItems>
  <dataFields count="1">
    <dataField name="Sum of Amount" fld="7" showDataAs="percentOfCol" baseField="0" baseItem="0" numFmtId="10"/>
  </dataFields>
  <formats count="7">
    <format dxfId="3894">
      <pivotArea type="all" dataOnly="0" outline="0" fieldPosition="0"/>
    </format>
    <format dxfId="3895">
      <pivotArea outline="0" collapsedLevelsAreSubtotals="1" fieldPosition="0"/>
    </format>
    <format dxfId="3896">
      <pivotArea field="4" type="button" dataOnly="0" labelOnly="1" outline="0" axis="axisRow" fieldPosition="0"/>
    </format>
    <format dxfId="3897">
      <pivotArea dataOnly="0" labelOnly="1" fieldPosition="0">
        <references count="1">
          <reference field="4" count="0"/>
        </references>
      </pivotArea>
    </format>
    <format dxfId="3898">
      <pivotArea dataOnly="0" labelOnly="1" grandRow="1" outline="0" fieldPosition="0"/>
    </format>
    <format dxfId="3899">
      <pivotArea dataOnly="0" labelOnly="1" outline="0" axis="axisValues" fieldPosition="0"/>
    </format>
    <format dxfId="3900">
      <pivotArea outline="0" fieldPosition="0">
        <references count="1">
          <reference field="4294967294" count="1">
            <x v="0"/>
          </reference>
        </references>
      </pivotArea>
    </format>
  </formats>
  <chartFormats count="4">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645F59-7872-F749-9126-EE719F9D4110}"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9:B34"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axis="axisRow" showAll="0">
      <items count="5">
        <item x="0"/>
        <item x="2"/>
        <item x="3"/>
        <item x="1"/>
        <item t="default"/>
      </items>
    </pivotField>
    <pivotField showAll="0">
      <items count="7">
        <item h="1" x="5"/>
        <item h="1" x="2"/>
        <item x="0"/>
        <item h="1" x="1"/>
        <item h="1" x="3"/>
        <item h="1"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5">
    <i>
      <x/>
    </i>
    <i>
      <x v="1"/>
    </i>
    <i>
      <x v="2"/>
    </i>
    <i>
      <x v="3"/>
    </i>
    <i t="grand">
      <x/>
    </i>
  </rowItems>
  <colItems count="1">
    <i/>
  </colItems>
  <dataFields count="1">
    <dataField name="Sum of Amount" fld="7" baseField="0" baseItem="0" numFmtId="1"/>
  </dataFields>
  <formats count="6">
    <format dxfId="3901">
      <pivotArea type="all" dataOnly="0" outline="0" fieldPosition="0"/>
    </format>
    <format dxfId="3902">
      <pivotArea outline="0" collapsedLevelsAreSubtotals="1" fieldPosition="0"/>
    </format>
    <format dxfId="3903">
      <pivotArea field="3" type="button" dataOnly="0" labelOnly="1" outline="0" axis="axisRow" fieldPosition="0"/>
    </format>
    <format dxfId="3904">
      <pivotArea dataOnly="0" labelOnly="1" fieldPosition="0">
        <references count="1">
          <reference field="3" count="0"/>
        </references>
      </pivotArea>
    </format>
    <format dxfId="3905">
      <pivotArea dataOnly="0" labelOnly="1" grandRow="1" outline="0" fieldPosition="0"/>
    </format>
    <format dxfId="3906">
      <pivotArea dataOnly="0" labelOnly="1" outline="0" axis="axisValues" fieldPosition="0"/>
    </format>
  </formats>
  <chartFormats count="11">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3" count="1" selected="0">
            <x v="0"/>
          </reference>
        </references>
      </pivotArea>
    </chartFormat>
    <chartFormat chart="8" format="12">
      <pivotArea type="data" outline="0" fieldPosition="0">
        <references count="2">
          <reference field="4294967294" count="1" selected="0">
            <x v="0"/>
          </reference>
          <reference field="3" count="1" selected="0">
            <x v="1"/>
          </reference>
        </references>
      </pivotArea>
    </chartFormat>
    <chartFormat chart="8" format="13">
      <pivotArea type="data" outline="0" fieldPosition="0">
        <references count="2">
          <reference field="4294967294" count="1" selected="0">
            <x v="0"/>
          </reference>
          <reference field="3" count="1" selected="0">
            <x v="2"/>
          </reference>
        </references>
      </pivotArea>
    </chartFormat>
    <chartFormat chart="8"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095828-4928-284D-A968-B6F728C0BBC6}"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6" firstHeaderRow="1" firstDataRow="1" firstDataCol="1"/>
  <pivotFields count="9">
    <pivotField showAll="0"/>
    <pivotField axis="axisRow"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h="1" x="5"/>
        <item h="1" x="2"/>
        <item x="0"/>
        <item h="1" x="1"/>
        <item h="1" x="3"/>
        <item h="1" x="4"/>
        <item t="default"/>
      </items>
    </pivotField>
    <pivotField numFmtId="164" showAll="0"/>
    <pivotField numFmtId="164"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7" baseField="0" baseItem="0" numFmtId="1"/>
  </dataFields>
  <formats count="6">
    <format dxfId="3907">
      <pivotArea type="all" dataOnly="0" outline="0" fieldPosition="0"/>
    </format>
    <format dxfId="3908">
      <pivotArea outline="0" collapsedLevelsAreSubtotals="1" fieldPosition="0"/>
    </format>
    <format dxfId="3909">
      <pivotArea field="8" type="button" dataOnly="0" labelOnly="1" outline="0" axis="axisRow" fieldPosition="0"/>
    </format>
    <format dxfId="3910">
      <pivotArea dataOnly="0" labelOnly="1" fieldPosition="0">
        <references count="1">
          <reference field="8" count="12">
            <x v="1"/>
            <x v="2"/>
            <x v="3"/>
            <x v="4"/>
            <x v="5"/>
            <x v="6"/>
            <x v="7"/>
            <x v="8"/>
            <x v="9"/>
            <x v="10"/>
            <x v="11"/>
            <x v="12"/>
          </reference>
        </references>
      </pivotArea>
    </format>
    <format dxfId="3911">
      <pivotArea dataOnly="0" labelOnly="1" grandRow="1" outline="0" fieldPosition="0"/>
    </format>
    <format dxfId="391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2"/>
    </i>
    <i>
      <x v="3"/>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4"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Sum of Qty" fld="5" showDataAs="percentOfCol" baseField="0" baseItem="0" numFmtId="1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2"/>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descending">
      <items count="7">
        <item h="1" x="5"/>
        <item h="1" x="2"/>
        <item x="0"/>
        <item h="1" x="1"/>
        <item h="1"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v="2"/>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5156456D-208C-AA44-9947-616F66276BB8}" sourceName="Region">
  <pivotTables>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1"/>
    <pivotTable tabId="13" name="PivotTable12"/>
    <pivotTable tabId="13" name="PivotTable13"/>
  </pivotTables>
  <data>
    <tabular pivotCacheId="939409558">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2" xr10:uid="{25EBB502-3F41-B742-B6E5-318EF0C58A8C}" sourceName="Item">
  <pivotTables>
    <pivotTable tabId="13" name="PivotTable2"/>
    <pivotTable tabId="13" name="PivotTable3"/>
    <pivotTable tabId="13" name="PivotTable4"/>
    <pivotTable tabId="13" name="PivotTable5"/>
    <pivotTable tabId="13" name="PivotTable6"/>
    <pivotTable tabId="13" name="PivotTable11"/>
    <pivotTable tabId="13" name="PivotTable12"/>
    <pivotTable tabId="3" name="PivotTable10"/>
    <pivotTable tabId="13" name="PivotTable13"/>
  </pivotTables>
  <data>
    <tabular pivotCacheId="939409558">
      <items count="6">
        <i x="5"/>
        <i x="2"/>
        <i x="0" s="1"/>
        <i x="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EFCFD3C5-744F-9643-8CAF-2679D140E9CA}" cache="Slicer_Region2" caption="Region" columnCount="2" style="SlicerStyleDark6" rowHeight="294216"/>
  <slicer name="Item 6" xr10:uid="{AC82BF99-CD1D-D64F-835E-08DB25421E4F}" cache="Slicer_Item2" caption="Item" columnCount="6" style="SlicerStyleDark6" rowHeight="29421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7" xr10:uid="{7233156D-A217-4E43-A8A6-EA1F2F052C73}" cache="Slicer_Region2" caption="Region" columnCount="2" style="SlicerStyleDark6" rowHeight="294216"/>
  <slicer name="Item 7" xr10:uid="{BBBFA3D2-460B-A249-8407-CDFE62F1151F}" cache="Slicer_Item2" caption="Item" columnCount="6" style="SlicerStyleDark6" rowHeight="29421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8" xr10:uid="{77B7FE0C-AF73-184F-A067-B1AE6D6D6E6C}" cache="Slicer_Region2" caption="Region" columnCount="2" style="SlicerStyleDark6" rowHeight="294216"/>
  <slicer name="Item 8" xr10:uid="{50684123-9F12-0C40-97EA-7157C39CF17B}" cache="Slicer_Item2" caption="Item" columnCount="6" style="SlicerStyleDark6" rowHeight="294216"/>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9" xr10:uid="{09BACFDF-3681-0A4E-81D7-BB995E501D2D}" cache="Slicer_Region2" caption="Region" columnCount="2" style="SlicerStyleDark6" rowHeight="294216"/>
  <slicer name="Item 9" xr10:uid="{2068AF66-2A56-A046-B95A-43B3D846EF84}" cache="Slicer_Item2" caption="Item" columnCount="6" style="SlicerStyleDark6" rowHeight="294216"/>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0" xr10:uid="{A6F61036-5A6F-9A46-9C23-FB36AEA874DB}" cache="Slicer_Region2" caption="Region" columnCount="2" style="SlicerStyleDark6" rowHeight="294216"/>
  <slicer name="Item 10" xr10:uid="{9C281AE2-4967-B54B-8266-28F79AC8CA00}" cache="Slicer_Item2" caption="Item" columnCount="6" style="SlicerStyleDark6" rowHeight="294216"/>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3F4869B0-57BC-D149-B945-A544465860A9}" sourceName="Date">
  <pivotTables>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1"/>
    <pivotTable tabId="13" name="PivotTable12"/>
    <pivotTable tabId="3" name="PivotTable13"/>
    <pivotTable tabId="3" name="PivotTable12"/>
    <pivotTable tabId="3" name="PivotTable11"/>
    <pivotTable tabId="3" name="PivotTable10"/>
    <pivotTable tabId="3" name="PivotTable8"/>
    <pivotTable tabId="3" name="PivotTable7"/>
    <pivotTable tabId="3" name="PivotTable6"/>
    <pivotTable tabId="3" name="PivotTable5"/>
    <pivotTable tabId="3" name="PivotTable3"/>
    <pivotTable tabId="3" name="PivotTable2"/>
    <pivotTable tabId="3" name="PivotTable1"/>
    <pivotTable tabId="13" name="PivotTable13"/>
  </pivotTables>
  <state minimalRefreshVersion="6" lastRefreshVersion="6" pivotCacheId="9394095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2"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2"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2"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A016D46-A728-CA4A-9DDE-89ED0B1F2AB0}" cache="NativeTimeline_Date2" caption="Date" showSelectionLabel="0" showTimeLevel="0" showHorizontalScrollbar="0" level="2" selectionLevel="2" scrollPosition="2021-01-01T00:00:00" style="TimeSlicerStyleDark6"/>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CB58FE42-DAFA-0046-BF45-7F522740510B}" cache="NativeTimeline_Date2" caption="Date" showSelectionLabel="0" showTimeLevel="0" showHorizontalScrollbar="0" level="2" selectionLevel="2" scrollPosition="2021-01-01T00:00:00" style="TimeSlicerStyleDark6"/>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FADC6AC8-F64E-E348-B6B1-8FF05133D118}" cache="NativeTimeline_Date2" caption="Date" showSelectionLabel="0" showTimeLevel="0" showHorizontalScrollbar="0" level="2" selectionLevel="2" scrollPosition="2021-01-01T00:00:00" style="TimeSlicerStyleDark6"/>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7" xr10:uid="{225C0815-C69A-8149-B187-6085DE5FFAB4}" cache="NativeTimeline_Date2" caption="Date" showSelectionLabel="0" showTimeLevel="0" showHorizontalScrollbar="0" level="2" selectionLevel="2" scrollPosition="2021-01-01T00:00:00" style="TimeSlicerStyleDark6"/>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8" xr10:uid="{B4877A77-A9BC-B842-8656-BEC6D350C73A}" cache="NativeTimeline_Date2" caption="Date" showSelectionLabel="0" showTimeLevel="0" showHorizontalScrollbar="0" level="2" selectionLevel="2" scrollPosition="2021-01-01T00:00:00" style="TimeSlicerStyleDark6"/>
</timelines>
</file>

<file path=xl/timelines/timeline9.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2"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11/relationships/timeline" Target="../timelines/timeline7.xml"/><Relationship Id="rId2" Type="http://schemas.microsoft.com/office/2007/relationships/slicer" Target="../slicers/slicer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microsoft.com/office/2011/relationships/timeline" Target="../timelines/timeline8.xml"/><Relationship Id="rId2" Type="http://schemas.microsoft.com/office/2007/relationships/slicer" Target="../slicers/slicer8.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drawing" Target="../drawings/drawing9.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rinterSettings" Target="../printerSettings/printerSettings1.bin"/><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microsoft.com/office/2011/relationships/timeline" Target="../timelines/timeline9.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microsoft.com/office/2007/relationships/slicer" Target="../slicers/slicer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baseColWidth="10" defaultColWidth="8.7109375" defaultRowHeight="19"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baseColWidth="10" defaultColWidth="8.7109375" defaultRowHeight="19"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baseColWidth="10" defaultColWidth="8.7109375" defaultRowHeight="19"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013DF-565A-9343-80D5-39E0F9417365}">
  <dimension ref="A3:E103"/>
  <sheetViews>
    <sheetView topLeftCell="A72" workbookViewId="0">
      <selection activeCell="D84" sqref="D84:E88"/>
    </sheetView>
  </sheetViews>
  <sheetFormatPr baseColWidth="10" defaultRowHeight="19" x14ac:dyDescent="0.25"/>
  <cols>
    <col min="1" max="1" width="12.5703125" bestFit="1" customWidth="1"/>
    <col min="2" max="3" width="14.140625" bestFit="1" customWidth="1"/>
    <col min="4" max="4" width="12.5703125" bestFit="1" customWidth="1"/>
    <col min="5" max="5" width="10.42578125" bestFit="1" customWidth="1"/>
  </cols>
  <sheetData>
    <row r="3" spans="1:2" x14ac:dyDescent="0.25">
      <c r="A3" s="16" t="s">
        <v>24</v>
      </c>
      <c r="B3" s="15" t="s">
        <v>33</v>
      </c>
    </row>
    <row r="4" spans="1:2" x14ac:dyDescent="0.25">
      <c r="A4" s="17" t="s">
        <v>40</v>
      </c>
      <c r="B4" s="15">
        <v>11700</v>
      </c>
    </row>
    <row r="5" spans="1:2" x14ac:dyDescent="0.25">
      <c r="A5" s="17" t="s">
        <v>38</v>
      </c>
      <c r="B5" s="15">
        <v>10710</v>
      </c>
    </row>
    <row r="6" spans="1:2" x14ac:dyDescent="0.25">
      <c r="A6" s="17" t="s">
        <v>39</v>
      </c>
      <c r="B6" s="15">
        <v>4410</v>
      </c>
    </row>
    <row r="7" spans="1:2" x14ac:dyDescent="0.25">
      <c r="A7" s="17" t="s">
        <v>26</v>
      </c>
      <c r="B7" s="15">
        <v>2880</v>
      </c>
    </row>
    <row r="8" spans="1:2" x14ac:dyDescent="0.25">
      <c r="A8" s="17" t="s">
        <v>27</v>
      </c>
      <c r="B8" s="15">
        <v>3930</v>
      </c>
    </row>
    <row r="9" spans="1:2" x14ac:dyDescent="0.25">
      <c r="A9" s="17" t="s">
        <v>28</v>
      </c>
      <c r="B9" s="15">
        <v>7200</v>
      </c>
    </row>
    <row r="10" spans="1:2" x14ac:dyDescent="0.25">
      <c r="A10" s="17" t="s">
        <v>29</v>
      </c>
      <c r="B10" s="15">
        <v>5490</v>
      </c>
    </row>
    <row r="11" spans="1:2" x14ac:dyDescent="0.25">
      <c r="A11" s="17" t="s">
        <v>30</v>
      </c>
      <c r="B11" s="15">
        <v>4770</v>
      </c>
    </row>
    <row r="12" spans="1:2" x14ac:dyDescent="0.25">
      <c r="A12" s="17" t="s">
        <v>31</v>
      </c>
      <c r="B12" s="15">
        <v>2730</v>
      </c>
    </row>
    <row r="13" spans="1:2" x14ac:dyDescent="0.25">
      <c r="A13" s="17" t="s">
        <v>32</v>
      </c>
      <c r="B13" s="15">
        <v>1890</v>
      </c>
    </row>
    <row r="14" spans="1:2" x14ac:dyDescent="0.25">
      <c r="A14" s="17" t="s">
        <v>36</v>
      </c>
      <c r="B14" s="15">
        <v>6510</v>
      </c>
    </row>
    <row r="15" spans="1:2" x14ac:dyDescent="0.25">
      <c r="A15" s="17" t="s">
        <v>37</v>
      </c>
      <c r="B15" s="15">
        <v>3930</v>
      </c>
    </row>
    <row r="16" spans="1:2" x14ac:dyDescent="0.25">
      <c r="A16" s="17" t="s">
        <v>25</v>
      </c>
      <c r="B16" s="15">
        <v>66150</v>
      </c>
    </row>
    <row r="29" spans="1:2" x14ac:dyDescent="0.25">
      <c r="A29" s="16" t="s">
        <v>24</v>
      </c>
      <c r="B29" s="15" t="s">
        <v>33</v>
      </c>
    </row>
    <row r="30" spans="1:2" x14ac:dyDescent="0.25">
      <c r="A30" s="17" t="s">
        <v>9</v>
      </c>
      <c r="B30" s="15">
        <v>34950</v>
      </c>
    </row>
    <row r="31" spans="1:2" x14ac:dyDescent="0.25">
      <c r="A31" s="17" t="s">
        <v>22</v>
      </c>
      <c r="B31" s="15">
        <v>9180</v>
      </c>
    </row>
    <row r="32" spans="1:2" x14ac:dyDescent="0.25">
      <c r="A32" s="17" t="s">
        <v>23</v>
      </c>
      <c r="B32" s="15">
        <v>7080</v>
      </c>
    </row>
    <row r="33" spans="1:2" x14ac:dyDescent="0.25">
      <c r="A33" s="17" t="s">
        <v>12</v>
      </c>
      <c r="B33" s="15">
        <v>14940</v>
      </c>
    </row>
    <row r="34" spans="1:2" x14ac:dyDescent="0.25">
      <c r="A34" s="17" t="s">
        <v>25</v>
      </c>
      <c r="B34" s="15">
        <v>66150</v>
      </c>
    </row>
    <row r="44" spans="1:2" x14ac:dyDescent="0.25">
      <c r="A44" s="16" t="s">
        <v>24</v>
      </c>
      <c r="B44" s="15" t="s">
        <v>33</v>
      </c>
    </row>
    <row r="45" spans="1:2" x14ac:dyDescent="0.25">
      <c r="A45" s="17" t="s">
        <v>10</v>
      </c>
      <c r="B45" s="13">
        <v>1</v>
      </c>
    </row>
    <row r="46" spans="1:2" x14ac:dyDescent="0.25">
      <c r="A46" s="17" t="s">
        <v>25</v>
      </c>
      <c r="B46" s="13">
        <v>1</v>
      </c>
    </row>
    <row r="55" spans="1:2" x14ac:dyDescent="0.25">
      <c r="A55" s="15" t="s">
        <v>33</v>
      </c>
    </row>
    <row r="56" spans="1:2" x14ac:dyDescent="0.25">
      <c r="A56" s="15">
        <v>66150</v>
      </c>
      <c r="B56" s="12">
        <f>GETPIVOTDATA("Amount",$A$55)</f>
        <v>66150</v>
      </c>
    </row>
    <row r="59" spans="1:2" x14ac:dyDescent="0.25">
      <c r="A59" s="15" t="s">
        <v>34</v>
      </c>
    </row>
    <row r="60" spans="1:2" x14ac:dyDescent="0.25">
      <c r="A60" s="15">
        <v>80</v>
      </c>
      <c r="B60">
        <f>GETPIVOTDATA("Amount",$A$59)</f>
        <v>80</v>
      </c>
    </row>
    <row r="62" spans="1:2" x14ac:dyDescent="0.25">
      <c r="A62" s="16" t="s">
        <v>24</v>
      </c>
      <c r="B62" s="15" t="s">
        <v>35</v>
      </c>
    </row>
    <row r="63" spans="1:2" x14ac:dyDescent="0.25">
      <c r="A63" s="17" t="s">
        <v>15</v>
      </c>
      <c r="B63" s="15">
        <v>251</v>
      </c>
    </row>
    <row r="64" spans="1:2" x14ac:dyDescent="0.25">
      <c r="A64" s="17" t="s">
        <v>10</v>
      </c>
      <c r="B64" s="15">
        <v>319</v>
      </c>
    </row>
    <row r="65" spans="1:2" x14ac:dyDescent="0.25">
      <c r="A65" s="17" t="s">
        <v>13</v>
      </c>
      <c r="B65" s="15">
        <v>445</v>
      </c>
    </row>
    <row r="66" spans="1:2" x14ac:dyDescent="0.25">
      <c r="A66" s="17" t="s">
        <v>25</v>
      </c>
      <c r="B66" s="15">
        <v>1015</v>
      </c>
    </row>
    <row r="68" spans="1:2" x14ac:dyDescent="0.25">
      <c r="A68" s="16" t="s">
        <v>24</v>
      </c>
      <c r="B68" s="15" t="s">
        <v>35</v>
      </c>
    </row>
    <row r="69" spans="1:2" x14ac:dyDescent="0.25">
      <c r="A69" s="17" t="s">
        <v>17</v>
      </c>
      <c r="B69" s="15">
        <v>242</v>
      </c>
    </row>
    <row r="70" spans="1:2" x14ac:dyDescent="0.25">
      <c r="A70" s="17" t="s">
        <v>19</v>
      </c>
      <c r="B70" s="15">
        <v>218</v>
      </c>
    </row>
    <row r="71" spans="1:2" x14ac:dyDescent="0.25">
      <c r="A71" s="17" t="s">
        <v>21</v>
      </c>
      <c r="B71" s="15">
        <v>132</v>
      </c>
    </row>
    <row r="72" spans="1:2" x14ac:dyDescent="0.25">
      <c r="A72" s="17" t="s">
        <v>25</v>
      </c>
      <c r="B72" s="15">
        <v>592</v>
      </c>
    </row>
    <row r="75" spans="1:2" x14ac:dyDescent="0.25">
      <c r="A75" s="16" t="s">
        <v>24</v>
      </c>
      <c r="B75" s="15" t="s">
        <v>35</v>
      </c>
    </row>
    <row r="76" spans="1:2" x14ac:dyDescent="0.25">
      <c r="A76" s="17" t="s">
        <v>21</v>
      </c>
      <c r="B76" s="15">
        <v>132</v>
      </c>
    </row>
    <row r="77" spans="1:2" x14ac:dyDescent="0.25">
      <c r="A77" s="17" t="s">
        <v>15</v>
      </c>
      <c r="B77" s="15">
        <v>251</v>
      </c>
    </row>
    <row r="78" spans="1:2" x14ac:dyDescent="0.25">
      <c r="A78" s="17" t="s">
        <v>10</v>
      </c>
      <c r="B78" s="15">
        <v>319</v>
      </c>
    </row>
    <row r="79" spans="1:2" x14ac:dyDescent="0.25">
      <c r="A79" s="17" t="s">
        <v>13</v>
      </c>
      <c r="B79" s="15">
        <v>445</v>
      </c>
    </row>
    <row r="80" spans="1:2" x14ac:dyDescent="0.25">
      <c r="A80" s="17" t="s">
        <v>17</v>
      </c>
      <c r="B80" s="15">
        <v>242</v>
      </c>
    </row>
    <row r="81" spans="1:5" x14ac:dyDescent="0.25">
      <c r="A81" s="17" t="s">
        <v>19</v>
      </c>
      <c r="B81" s="15">
        <v>218</v>
      </c>
    </row>
    <row r="82" spans="1:5" x14ac:dyDescent="0.25">
      <c r="A82" s="17" t="s">
        <v>25</v>
      </c>
      <c r="B82" s="15">
        <v>1607</v>
      </c>
    </row>
    <row r="84" spans="1:5" x14ac:dyDescent="0.25">
      <c r="D84" s="16" t="s">
        <v>24</v>
      </c>
      <c r="E84" s="15" t="s">
        <v>35</v>
      </c>
    </row>
    <row r="85" spans="1:5" x14ac:dyDescent="0.25">
      <c r="D85" s="17" t="s">
        <v>8</v>
      </c>
      <c r="E85" s="15">
        <v>110</v>
      </c>
    </row>
    <row r="86" spans="1:5" x14ac:dyDescent="0.25">
      <c r="D86" s="17" t="s">
        <v>20</v>
      </c>
      <c r="E86" s="15">
        <v>70</v>
      </c>
    </row>
    <row r="87" spans="1:5" x14ac:dyDescent="0.25">
      <c r="D87" s="17" t="s">
        <v>11</v>
      </c>
      <c r="E87" s="15">
        <v>57</v>
      </c>
    </row>
    <row r="88" spans="1:5" x14ac:dyDescent="0.25">
      <c r="D88" s="17" t="s">
        <v>25</v>
      </c>
      <c r="E88" s="15">
        <v>237</v>
      </c>
    </row>
    <row r="90" spans="1:5" x14ac:dyDescent="0.25">
      <c r="A90" s="16" t="s">
        <v>24</v>
      </c>
      <c r="B90" s="15" t="s">
        <v>35</v>
      </c>
    </row>
    <row r="91" spans="1:5" x14ac:dyDescent="0.25">
      <c r="A91" s="17" t="s">
        <v>16</v>
      </c>
      <c r="B91" s="15">
        <v>16</v>
      </c>
    </row>
    <row r="92" spans="1:5" x14ac:dyDescent="0.25">
      <c r="A92" s="17" t="s">
        <v>14</v>
      </c>
      <c r="B92" s="15">
        <v>28</v>
      </c>
    </row>
    <row r="93" spans="1:5" x14ac:dyDescent="0.25">
      <c r="A93" s="17" t="s">
        <v>18</v>
      </c>
      <c r="B93" s="15">
        <v>38</v>
      </c>
    </row>
    <row r="94" spans="1:5" x14ac:dyDescent="0.25">
      <c r="A94" s="17" t="s">
        <v>25</v>
      </c>
      <c r="B94" s="15">
        <v>82</v>
      </c>
    </row>
    <row r="96" spans="1:5" x14ac:dyDescent="0.25">
      <c r="A96" s="16" t="s">
        <v>24</v>
      </c>
      <c r="B96" s="15" t="s">
        <v>33</v>
      </c>
    </row>
    <row r="97" spans="1:2" x14ac:dyDescent="0.25">
      <c r="A97" s="17" t="s">
        <v>8</v>
      </c>
      <c r="B97" s="15">
        <v>23040</v>
      </c>
    </row>
    <row r="98" spans="1:2" x14ac:dyDescent="0.25">
      <c r="A98" s="17" t="s">
        <v>16</v>
      </c>
      <c r="B98" s="15">
        <v>3300</v>
      </c>
    </row>
    <row r="99" spans="1:2" x14ac:dyDescent="0.25">
      <c r="A99" s="17" t="s">
        <v>18</v>
      </c>
      <c r="B99" s="15">
        <v>7800</v>
      </c>
    </row>
    <row r="100" spans="1:2" x14ac:dyDescent="0.25">
      <c r="A100" s="17" t="s">
        <v>14</v>
      </c>
      <c r="B100" s="15">
        <v>5760</v>
      </c>
    </row>
    <row r="101" spans="1:2" x14ac:dyDescent="0.25">
      <c r="A101" s="17" t="s">
        <v>11</v>
      </c>
      <c r="B101" s="15">
        <v>11730</v>
      </c>
    </row>
    <row r="102" spans="1:2" x14ac:dyDescent="0.25">
      <c r="A102" s="17" t="s">
        <v>20</v>
      </c>
      <c r="B102" s="15">
        <v>14520</v>
      </c>
    </row>
    <row r="103" spans="1:2" x14ac:dyDescent="0.25">
      <c r="A103" s="17" t="s">
        <v>25</v>
      </c>
      <c r="B103" s="15">
        <v>66150</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G21" sqref="A1:H367"/>
    </sheetView>
  </sheetViews>
  <sheetFormatPr baseColWidth="10" defaultColWidth="8.7109375" defaultRowHeight="19" x14ac:dyDescent="0.25"/>
  <cols>
    <col min="2" max="2" width="13" customWidth="1"/>
    <col min="6" max="7" width="8.7109375" style="11"/>
    <col min="8" max="8" width="14.28515625" style="11" customWidth="1"/>
  </cols>
  <sheetData>
    <row r="1" spans="1:8" x14ac:dyDescent="0.25">
      <c r="A1" s="1" t="s">
        <v>0</v>
      </c>
      <c r="B1" s="2" t="s">
        <v>1</v>
      </c>
      <c r="C1" s="3" t="s">
        <v>2</v>
      </c>
      <c r="D1" s="3" t="s">
        <v>3</v>
      </c>
      <c r="E1" s="3" t="s">
        <v>4</v>
      </c>
      <c r="F1" s="9" t="s">
        <v>5</v>
      </c>
      <c r="G1" s="9" t="s">
        <v>6</v>
      </c>
      <c r="H1" s="9" t="s">
        <v>7</v>
      </c>
    </row>
    <row r="2" spans="1:8" x14ac:dyDescent="0.25">
      <c r="A2" s="4">
        <v>1</v>
      </c>
      <c r="B2" s="5">
        <v>44197</v>
      </c>
      <c r="C2" s="6" t="s">
        <v>8</v>
      </c>
      <c r="D2" s="6" t="s">
        <v>9</v>
      </c>
      <c r="E2" s="6" t="s">
        <v>10</v>
      </c>
      <c r="F2" s="10">
        <v>7</v>
      </c>
      <c r="G2" s="10">
        <v>210</v>
      </c>
      <c r="H2" s="10">
        <f>F2*G2</f>
        <v>1470</v>
      </c>
    </row>
    <row r="3" spans="1:8" x14ac:dyDescent="0.25">
      <c r="A3" s="4">
        <v>2</v>
      </c>
      <c r="B3" s="5">
        <v>44198</v>
      </c>
      <c r="C3" s="6" t="s">
        <v>11</v>
      </c>
      <c r="D3" s="6" t="s">
        <v>12</v>
      </c>
      <c r="E3" s="6" t="s">
        <v>13</v>
      </c>
      <c r="F3" s="10">
        <v>6</v>
      </c>
      <c r="G3" s="10">
        <v>2100</v>
      </c>
      <c r="H3" s="10">
        <f t="shared" ref="H3:H38" si="0">F3*G3</f>
        <v>12600</v>
      </c>
    </row>
    <row r="4" spans="1:8" x14ac:dyDescent="0.25">
      <c r="A4" s="4">
        <v>3</v>
      </c>
      <c r="B4" s="5">
        <v>44199</v>
      </c>
      <c r="C4" s="6" t="s">
        <v>14</v>
      </c>
      <c r="D4" s="6" t="s">
        <v>9</v>
      </c>
      <c r="E4" s="6" t="s">
        <v>15</v>
      </c>
      <c r="F4" s="10">
        <v>5</v>
      </c>
      <c r="G4" s="10">
        <v>1200</v>
      </c>
      <c r="H4" s="10">
        <f t="shared" si="0"/>
        <v>6000</v>
      </c>
    </row>
    <row r="5" spans="1:8" x14ac:dyDescent="0.25">
      <c r="A5" s="4">
        <v>4</v>
      </c>
      <c r="B5" s="5">
        <v>44200</v>
      </c>
      <c r="C5" s="6" t="s">
        <v>16</v>
      </c>
      <c r="D5" s="6" t="s">
        <v>12</v>
      </c>
      <c r="E5" s="6" t="s">
        <v>17</v>
      </c>
      <c r="F5" s="10">
        <v>4</v>
      </c>
      <c r="G5" s="10">
        <v>1500</v>
      </c>
      <c r="H5" s="10">
        <f t="shared" si="0"/>
        <v>6000</v>
      </c>
    </row>
    <row r="6" spans="1:8" x14ac:dyDescent="0.25">
      <c r="A6" s="4">
        <v>5</v>
      </c>
      <c r="B6" s="5">
        <v>44201</v>
      </c>
      <c r="C6" s="6" t="s">
        <v>18</v>
      </c>
      <c r="D6" s="6" t="s">
        <v>9</v>
      </c>
      <c r="E6" s="6" t="s">
        <v>19</v>
      </c>
      <c r="F6" s="10">
        <v>3</v>
      </c>
      <c r="G6" s="10">
        <v>300</v>
      </c>
      <c r="H6" s="10">
        <f t="shared" si="0"/>
        <v>900</v>
      </c>
    </row>
    <row r="7" spans="1:8" x14ac:dyDescent="0.25">
      <c r="A7" s="4">
        <v>6</v>
      </c>
      <c r="B7" s="5">
        <v>44202</v>
      </c>
      <c r="C7" s="6" t="s">
        <v>20</v>
      </c>
      <c r="D7" s="6" t="s">
        <v>9</v>
      </c>
      <c r="E7" s="6" t="s">
        <v>21</v>
      </c>
      <c r="F7" s="10">
        <v>2</v>
      </c>
      <c r="G7" s="10">
        <v>190</v>
      </c>
      <c r="H7" s="10">
        <f t="shared" si="0"/>
        <v>380</v>
      </c>
    </row>
    <row r="8" spans="1:8" x14ac:dyDescent="0.25">
      <c r="A8" s="4">
        <v>7</v>
      </c>
      <c r="B8" s="5">
        <v>44203</v>
      </c>
      <c r="C8" s="6" t="s">
        <v>8</v>
      </c>
      <c r="D8" s="6" t="s">
        <v>9</v>
      </c>
      <c r="E8" s="6" t="s">
        <v>10</v>
      </c>
      <c r="F8" s="10">
        <v>7</v>
      </c>
      <c r="G8" s="10">
        <v>210</v>
      </c>
      <c r="H8" s="10">
        <f t="shared" si="0"/>
        <v>1470</v>
      </c>
    </row>
    <row r="9" spans="1:8" x14ac:dyDescent="0.25">
      <c r="A9" s="4">
        <v>8</v>
      </c>
      <c r="B9" s="5">
        <v>44204</v>
      </c>
      <c r="C9" s="6" t="s">
        <v>11</v>
      </c>
      <c r="D9" s="6" t="s">
        <v>12</v>
      </c>
      <c r="E9" s="6" t="s">
        <v>13</v>
      </c>
      <c r="F9" s="10">
        <v>6</v>
      </c>
      <c r="G9" s="10">
        <v>2100</v>
      </c>
      <c r="H9" s="10">
        <f t="shared" si="0"/>
        <v>12600</v>
      </c>
    </row>
    <row r="10" spans="1:8" x14ac:dyDescent="0.25">
      <c r="A10" s="4">
        <v>9</v>
      </c>
      <c r="B10" s="5">
        <v>44205</v>
      </c>
      <c r="C10" s="6" t="s">
        <v>14</v>
      </c>
      <c r="D10" s="6" t="s">
        <v>12</v>
      </c>
      <c r="E10" s="6" t="s">
        <v>15</v>
      </c>
      <c r="F10" s="10">
        <v>5</v>
      </c>
      <c r="G10" s="10">
        <v>1200</v>
      </c>
      <c r="H10" s="10">
        <f t="shared" si="0"/>
        <v>6000</v>
      </c>
    </row>
    <row r="11" spans="1:8" x14ac:dyDescent="0.25">
      <c r="A11" s="4">
        <v>10</v>
      </c>
      <c r="B11" s="5">
        <v>44206</v>
      </c>
      <c r="C11" s="6" t="s">
        <v>16</v>
      </c>
      <c r="D11" s="6" t="s">
        <v>9</v>
      </c>
      <c r="E11" s="6" t="s">
        <v>17</v>
      </c>
      <c r="F11" s="10">
        <v>4</v>
      </c>
      <c r="G11" s="10">
        <v>1500</v>
      </c>
      <c r="H11" s="10">
        <f t="shared" si="0"/>
        <v>6000</v>
      </c>
    </row>
    <row r="12" spans="1:8" x14ac:dyDescent="0.25">
      <c r="A12" s="4">
        <v>11</v>
      </c>
      <c r="B12" s="5">
        <v>44207</v>
      </c>
      <c r="C12" s="6" t="s">
        <v>18</v>
      </c>
      <c r="D12" s="6" t="s">
        <v>9</v>
      </c>
      <c r="E12" s="6" t="s">
        <v>19</v>
      </c>
      <c r="F12" s="10">
        <v>3</v>
      </c>
      <c r="G12" s="10">
        <v>300</v>
      </c>
      <c r="H12" s="10">
        <f t="shared" si="0"/>
        <v>900</v>
      </c>
    </row>
    <row r="13" spans="1:8" x14ac:dyDescent="0.25">
      <c r="A13" s="4">
        <v>12</v>
      </c>
      <c r="B13" s="5">
        <v>44208</v>
      </c>
      <c r="C13" s="6" t="s">
        <v>20</v>
      </c>
      <c r="D13" s="6" t="s">
        <v>12</v>
      </c>
      <c r="E13" s="6" t="s">
        <v>21</v>
      </c>
      <c r="F13" s="10">
        <v>2</v>
      </c>
      <c r="G13" s="10">
        <v>190</v>
      </c>
      <c r="H13" s="10">
        <f t="shared" si="0"/>
        <v>380</v>
      </c>
    </row>
    <row r="14" spans="1:8" x14ac:dyDescent="0.25">
      <c r="A14" s="4">
        <v>13</v>
      </c>
      <c r="B14" s="5">
        <v>44209</v>
      </c>
      <c r="C14" s="6" t="s">
        <v>20</v>
      </c>
      <c r="D14" s="6" t="s">
        <v>9</v>
      </c>
      <c r="E14" s="6" t="s">
        <v>10</v>
      </c>
      <c r="F14" s="10">
        <v>2</v>
      </c>
      <c r="G14" s="10">
        <v>210</v>
      </c>
      <c r="H14" s="10">
        <f t="shared" si="0"/>
        <v>420</v>
      </c>
    </row>
    <row r="15" spans="1:8" x14ac:dyDescent="0.25">
      <c r="A15" s="4">
        <v>14</v>
      </c>
      <c r="B15" s="5">
        <v>44210</v>
      </c>
      <c r="C15" s="6" t="s">
        <v>8</v>
      </c>
      <c r="D15" s="6" t="s">
        <v>9</v>
      </c>
      <c r="E15" s="6" t="s">
        <v>13</v>
      </c>
      <c r="F15" s="10">
        <v>7</v>
      </c>
      <c r="G15" s="10">
        <v>2100</v>
      </c>
      <c r="H15" s="10">
        <f t="shared" si="0"/>
        <v>14700</v>
      </c>
    </row>
    <row r="16" spans="1:8" x14ac:dyDescent="0.25">
      <c r="A16" s="4">
        <v>15</v>
      </c>
      <c r="B16" s="5">
        <v>44211</v>
      </c>
      <c r="C16" s="6" t="s">
        <v>11</v>
      </c>
      <c r="D16" s="6" t="s">
        <v>9</v>
      </c>
      <c r="E16" s="6" t="s">
        <v>15</v>
      </c>
      <c r="F16" s="10">
        <v>6</v>
      </c>
      <c r="G16" s="10">
        <v>1200</v>
      </c>
      <c r="H16" s="10">
        <f t="shared" si="0"/>
        <v>7200</v>
      </c>
    </row>
    <row r="17" spans="1:8" x14ac:dyDescent="0.25">
      <c r="A17" s="4">
        <v>16</v>
      </c>
      <c r="B17" s="5">
        <v>44212</v>
      </c>
      <c r="C17" s="6" t="s">
        <v>14</v>
      </c>
      <c r="D17" s="6" t="s">
        <v>9</v>
      </c>
      <c r="E17" s="6" t="s">
        <v>17</v>
      </c>
      <c r="F17" s="10">
        <v>5</v>
      </c>
      <c r="G17" s="10">
        <v>1500</v>
      </c>
      <c r="H17" s="10">
        <f t="shared" si="0"/>
        <v>7500</v>
      </c>
    </row>
    <row r="18" spans="1:8" x14ac:dyDescent="0.25">
      <c r="A18" s="4">
        <v>17</v>
      </c>
      <c r="B18" s="5">
        <v>44213</v>
      </c>
      <c r="C18" s="6" t="s">
        <v>16</v>
      </c>
      <c r="D18" s="6" t="s">
        <v>9</v>
      </c>
      <c r="E18" s="6" t="s">
        <v>19</v>
      </c>
      <c r="F18" s="10">
        <v>4</v>
      </c>
      <c r="G18" s="10">
        <v>300</v>
      </c>
      <c r="H18" s="10">
        <f t="shared" si="0"/>
        <v>1200</v>
      </c>
    </row>
    <row r="19" spans="1:8" x14ac:dyDescent="0.25">
      <c r="A19" s="4">
        <v>18</v>
      </c>
      <c r="B19" s="5">
        <v>44214</v>
      </c>
      <c r="C19" s="6" t="s">
        <v>18</v>
      </c>
      <c r="D19" s="6" t="s">
        <v>9</v>
      </c>
      <c r="E19" s="6" t="s">
        <v>21</v>
      </c>
      <c r="F19" s="10">
        <v>3</v>
      </c>
      <c r="G19" s="10">
        <v>190</v>
      </c>
      <c r="H19" s="10">
        <f t="shared" si="0"/>
        <v>570</v>
      </c>
    </row>
    <row r="20" spans="1:8" x14ac:dyDescent="0.25">
      <c r="A20" s="4">
        <v>19</v>
      </c>
      <c r="B20" s="5">
        <v>44215</v>
      </c>
      <c r="C20" s="6" t="s">
        <v>20</v>
      </c>
      <c r="D20" s="6" t="s">
        <v>9</v>
      </c>
      <c r="E20" s="6" t="s">
        <v>10</v>
      </c>
      <c r="F20" s="10">
        <v>2</v>
      </c>
      <c r="G20" s="10">
        <v>210</v>
      </c>
      <c r="H20" s="10">
        <f t="shared" si="0"/>
        <v>420</v>
      </c>
    </row>
    <row r="21" spans="1:8" x14ac:dyDescent="0.25">
      <c r="A21" s="4">
        <v>20</v>
      </c>
      <c r="B21" s="5">
        <v>44216</v>
      </c>
      <c r="C21" s="6" t="s">
        <v>8</v>
      </c>
      <c r="D21" s="6" t="s">
        <v>9</v>
      </c>
      <c r="E21" s="6" t="s">
        <v>15</v>
      </c>
      <c r="F21" s="10">
        <v>7</v>
      </c>
      <c r="G21" s="10">
        <v>2100</v>
      </c>
      <c r="H21" s="10">
        <f t="shared" si="0"/>
        <v>14700</v>
      </c>
    </row>
    <row r="22" spans="1:8" x14ac:dyDescent="0.25">
      <c r="A22" s="4">
        <v>21</v>
      </c>
      <c r="B22" s="5">
        <v>44217</v>
      </c>
      <c r="C22" s="6" t="s">
        <v>11</v>
      </c>
      <c r="D22" s="6" t="s">
        <v>12</v>
      </c>
      <c r="E22" s="6" t="s">
        <v>17</v>
      </c>
      <c r="F22" s="10">
        <v>6</v>
      </c>
      <c r="G22" s="10">
        <v>1200</v>
      </c>
      <c r="H22" s="10">
        <f t="shared" si="0"/>
        <v>7200</v>
      </c>
    </row>
    <row r="23" spans="1:8" x14ac:dyDescent="0.25">
      <c r="A23" s="4">
        <v>22</v>
      </c>
      <c r="B23" s="5">
        <v>44218</v>
      </c>
      <c r="C23" s="6" t="s">
        <v>14</v>
      </c>
      <c r="D23" s="6" t="s">
        <v>9</v>
      </c>
      <c r="E23" s="6" t="s">
        <v>19</v>
      </c>
      <c r="F23" s="10">
        <v>5</v>
      </c>
      <c r="G23" s="10">
        <v>300</v>
      </c>
      <c r="H23" s="10">
        <f t="shared" si="0"/>
        <v>1500</v>
      </c>
    </row>
    <row r="24" spans="1:8" x14ac:dyDescent="0.25">
      <c r="A24" s="4">
        <v>23</v>
      </c>
      <c r="B24" s="5">
        <v>44219</v>
      </c>
      <c r="C24" s="6" t="s">
        <v>16</v>
      </c>
      <c r="D24" s="6" t="s">
        <v>12</v>
      </c>
      <c r="E24" s="6" t="s">
        <v>21</v>
      </c>
      <c r="F24" s="10">
        <v>4</v>
      </c>
      <c r="G24" s="10">
        <v>200</v>
      </c>
      <c r="H24" s="10">
        <f t="shared" si="0"/>
        <v>800</v>
      </c>
    </row>
    <row r="25" spans="1:8" x14ac:dyDescent="0.25">
      <c r="A25" s="4">
        <v>24</v>
      </c>
      <c r="B25" s="5">
        <v>44220</v>
      </c>
      <c r="C25" s="6" t="s">
        <v>18</v>
      </c>
      <c r="D25" s="6" t="s">
        <v>9</v>
      </c>
      <c r="E25" s="6" t="s">
        <v>10</v>
      </c>
      <c r="F25" s="10">
        <v>3</v>
      </c>
      <c r="G25" s="10">
        <v>190</v>
      </c>
      <c r="H25" s="10">
        <f t="shared" si="0"/>
        <v>570</v>
      </c>
    </row>
    <row r="26" spans="1:8" x14ac:dyDescent="0.25">
      <c r="A26" s="4">
        <v>25</v>
      </c>
      <c r="B26" s="5">
        <v>44221</v>
      </c>
      <c r="C26" s="6" t="s">
        <v>20</v>
      </c>
      <c r="D26" s="6" t="s">
        <v>9</v>
      </c>
      <c r="E26" s="6" t="s">
        <v>13</v>
      </c>
      <c r="F26" s="10">
        <v>2</v>
      </c>
      <c r="G26" s="10">
        <v>2100</v>
      </c>
      <c r="H26" s="10">
        <f t="shared" si="0"/>
        <v>4200</v>
      </c>
    </row>
    <row r="27" spans="1:8" x14ac:dyDescent="0.25">
      <c r="A27" s="4">
        <v>26</v>
      </c>
      <c r="B27" s="5">
        <v>44222</v>
      </c>
      <c r="C27" s="6" t="s">
        <v>20</v>
      </c>
      <c r="D27" s="6" t="s">
        <v>9</v>
      </c>
      <c r="E27" s="6" t="s">
        <v>10</v>
      </c>
      <c r="F27" s="10">
        <v>7</v>
      </c>
      <c r="G27" s="10">
        <v>210</v>
      </c>
      <c r="H27" s="10">
        <f t="shared" si="0"/>
        <v>1470</v>
      </c>
    </row>
    <row r="28" spans="1:8" x14ac:dyDescent="0.25">
      <c r="A28" s="4">
        <v>27</v>
      </c>
      <c r="B28" s="5">
        <v>44223</v>
      </c>
      <c r="C28" s="6" t="s">
        <v>8</v>
      </c>
      <c r="D28" s="6" t="s">
        <v>9</v>
      </c>
      <c r="E28" s="6" t="s">
        <v>13</v>
      </c>
      <c r="F28" s="10">
        <v>6</v>
      </c>
      <c r="G28" s="10">
        <v>2100</v>
      </c>
      <c r="H28" s="10">
        <f t="shared" si="0"/>
        <v>12600</v>
      </c>
    </row>
    <row r="29" spans="1:8" x14ac:dyDescent="0.25">
      <c r="A29" s="4">
        <v>28</v>
      </c>
      <c r="B29" s="5">
        <v>44224</v>
      </c>
      <c r="C29" s="6" t="s">
        <v>8</v>
      </c>
      <c r="D29" s="6" t="s">
        <v>12</v>
      </c>
      <c r="E29" s="6" t="s">
        <v>10</v>
      </c>
      <c r="F29" s="10">
        <v>7</v>
      </c>
      <c r="G29" s="10">
        <v>210</v>
      </c>
      <c r="H29" s="10">
        <f t="shared" si="0"/>
        <v>1470</v>
      </c>
    </row>
    <row r="30" spans="1:8" x14ac:dyDescent="0.25">
      <c r="A30" s="4">
        <v>29</v>
      </c>
      <c r="B30" s="5">
        <v>44225</v>
      </c>
      <c r="C30" s="6" t="s">
        <v>8</v>
      </c>
      <c r="D30" s="6" t="s">
        <v>22</v>
      </c>
      <c r="E30" s="6" t="s">
        <v>10</v>
      </c>
      <c r="F30" s="10">
        <v>7</v>
      </c>
      <c r="G30" s="10">
        <v>210</v>
      </c>
      <c r="H30" s="10">
        <f t="shared" si="0"/>
        <v>1470</v>
      </c>
    </row>
    <row r="31" spans="1:8" x14ac:dyDescent="0.25">
      <c r="A31" s="4">
        <v>30</v>
      </c>
      <c r="B31" s="5">
        <v>44226</v>
      </c>
      <c r="C31" s="6" t="s">
        <v>8</v>
      </c>
      <c r="D31" s="6" t="s">
        <v>23</v>
      </c>
      <c r="E31" s="6" t="s">
        <v>10</v>
      </c>
      <c r="F31" s="10">
        <v>7</v>
      </c>
      <c r="G31" s="10">
        <v>210</v>
      </c>
      <c r="H31" s="10">
        <f t="shared" si="0"/>
        <v>1470</v>
      </c>
    </row>
    <row r="32" spans="1:8" x14ac:dyDescent="0.25">
      <c r="A32" s="4">
        <v>31</v>
      </c>
      <c r="B32" s="5">
        <v>44227</v>
      </c>
      <c r="C32" s="6" t="s">
        <v>8</v>
      </c>
      <c r="D32" s="6" t="s">
        <v>9</v>
      </c>
      <c r="E32" s="6" t="s">
        <v>10</v>
      </c>
      <c r="F32" s="10">
        <v>7</v>
      </c>
      <c r="G32" s="10">
        <v>210</v>
      </c>
      <c r="H32" s="10">
        <f t="shared" si="0"/>
        <v>1470</v>
      </c>
    </row>
    <row r="33" spans="1:8" x14ac:dyDescent="0.25">
      <c r="A33" s="4">
        <v>32</v>
      </c>
      <c r="B33" s="5">
        <v>44228</v>
      </c>
      <c r="C33" s="6" t="s">
        <v>8</v>
      </c>
      <c r="D33" s="6" t="s">
        <v>12</v>
      </c>
      <c r="E33" s="6" t="s">
        <v>10</v>
      </c>
      <c r="F33" s="10">
        <v>7</v>
      </c>
      <c r="G33" s="10">
        <v>210</v>
      </c>
      <c r="H33" s="10">
        <f t="shared" si="0"/>
        <v>1470</v>
      </c>
    </row>
    <row r="34" spans="1:8" x14ac:dyDescent="0.25">
      <c r="A34" s="4">
        <v>33</v>
      </c>
      <c r="B34" s="5">
        <v>44229</v>
      </c>
      <c r="C34" s="6" t="s">
        <v>8</v>
      </c>
      <c r="D34" s="6" t="s">
        <v>22</v>
      </c>
      <c r="E34" s="6" t="s">
        <v>10</v>
      </c>
      <c r="F34" s="10">
        <v>7</v>
      </c>
      <c r="G34" s="10">
        <v>210</v>
      </c>
      <c r="H34" s="10">
        <f t="shared" si="0"/>
        <v>1470</v>
      </c>
    </row>
    <row r="35" spans="1:8" x14ac:dyDescent="0.25">
      <c r="A35" s="4">
        <v>34</v>
      </c>
      <c r="B35" s="5">
        <v>44230</v>
      </c>
      <c r="C35" s="6" t="s">
        <v>8</v>
      </c>
      <c r="D35" s="6" t="s">
        <v>23</v>
      </c>
      <c r="E35" s="6" t="s">
        <v>10</v>
      </c>
      <c r="F35" s="10">
        <v>7</v>
      </c>
      <c r="G35" s="10">
        <v>210</v>
      </c>
      <c r="H35" s="10">
        <f t="shared" si="0"/>
        <v>1470</v>
      </c>
    </row>
    <row r="36" spans="1:8" x14ac:dyDescent="0.25">
      <c r="A36" s="4">
        <v>35</v>
      </c>
      <c r="B36" s="5">
        <v>44231</v>
      </c>
      <c r="C36" s="6" t="s">
        <v>11</v>
      </c>
      <c r="D36" s="6" t="s">
        <v>12</v>
      </c>
      <c r="E36" s="6" t="s">
        <v>10</v>
      </c>
      <c r="F36" s="10">
        <v>7</v>
      </c>
      <c r="G36" s="10">
        <v>210</v>
      </c>
      <c r="H36" s="10">
        <f t="shared" si="0"/>
        <v>1470</v>
      </c>
    </row>
    <row r="37" spans="1:8" x14ac:dyDescent="0.25">
      <c r="A37" s="4">
        <v>36</v>
      </c>
      <c r="B37" s="5">
        <v>44232</v>
      </c>
      <c r="C37" s="6" t="s">
        <v>11</v>
      </c>
      <c r="D37" s="6" t="s">
        <v>9</v>
      </c>
      <c r="E37" s="6" t="s">
        <v>10</v>
      </c>
      <c r="F37" s="10">
        <v>7</v>
      </c>
      <c r="G37" s="10">
        <v>210</v>
      </c>
      <c r="H37" s="10">
        <f t="shared" si="0"/>
        <v>1470</v>
      </c>
    </row>
    <row r="38" spans="1:8" x14ac:dyDescent="0.25">
      <c r="A38" s="4">
        <v>37</v>
      </c>
      <c r="B38" s="5">
        <v>44233</v>
      </c>
      <c r="C38" s="6" t="s">
        <v>11</v>
      </c>
      <c r="D38" s="6" t="s">
        <v>22</v>
      </c>
      <c r="E38" s="6" t="s">
        <v>21</v>
      </c>
      <c r="F38" s="10">
        <v>2</v>
      </c>
      <c r="G38" s="10">
        <v>190</v>
      </c>
      <c r="H38" s="10">
        <f t="shared" si="0"/>
        <v>380</v>
      </c>
    </row>
    <row r="39" spans="1:8" x14ac:dyDescent="0.25">
      <c r="A39" s="4">
        <v>38</v>
      </c>
      <c r="B39" s="5">
        <v>44234</v>
      </c>
      <c r="C39" s="6" t="s">
        <v>11</v>
      </c>
      <c r="D39" s="6" t="s">
        <v>23</v>
      </c>
      <c r="E39" s="6" t="s">
        <v>10</v>
      </c>
      <c r="F39" s="10">
        <v>2</v>
      </c>
      <c r="G39" s="10">
        <v>210</v>
      </c>
      <c r="H39" s="10">
        <f t="shared" ref="H39:H102" si="1">F39*G39</f>
        <v>420</v>
      </c>
    </row>
    <row r="40" spans="1:8" x14ac:dyDescent="0.25">
      <c r="A40" s="4">
        <v>39</v>
      </c>
      <c r="B40" s="5">
        <v>44235</v>
      </c>
      <c r="C40" s="6" t="s">
        <v>11</v>
      </c>
      <c r="D40" s="6" t="s">
        <v>12</v>
      </c>
      <c r="E40" s="6" t="s">
        <v>13</v>
      </c>
      <c r="F40" s="10">
        <v>7</v>
      </c>
      <c r="G40" s="10">
        <v>2100</v>
      </c>
      <c r="H40" s="10">
        <f t="shared" si="1"/>
        <v>14700</v>
      </c>
    </row>
    <row r="41" spans="1:8" x14ac:dyDescent="0.25">
      <c r="A41" s="4">
        <v>40</v>
      </c>
      <c r="B41" s="5">
        <v>44236</v>
      </c>
      <c r="C41" s="6" t="s">
        <v>11</v>
      </c>
      <c r="D41" s="6" t="s">
        <v>9</v>
      </c>
      <c r="E41" s="6" t="s">
        <v>15</v>
      </c>
      <c r="F41" s="10">
        <v>6</v>
      </c>
      <c r="G41" s="10">
        <v>1200</v>
      </c>
      <c r="H41" s="10">
        <f t="shared" si="1"/>
        <v>7200</v>
      </c>
    </row>
    <row r="42" spans="1:8" x14ac:dyDescent="0.25">
      <c r="A42" s="4">
        <v>41</v>
      </c>
      <c r="B42" s="5">
        <v>44237</v>
      </c>
      <c r="C42" s="6" t="s">
        <v>11</v>
      </c>
      <c r="D42" s="6" t="s">
        <v>22</v>
      </c>
      <c r="E42" s="6" t="s">
        <v>13</v>
      </c>
      <c r="F42" s="10">
        <v>7</v>
      </c>
      <c r="G42" s="10">
        <v>2100</v>
      </c>
      <c r="H42" s="10">
        <f t="shared" si="1"/>
        <v>14700</v>
      </c>
    </row>
    <row r="43" spans="1:8" x14ac:dyDescent="0.25">
      <c r="A43" s="4">
        <v>42</v>
      </c>
      <c r="B43" s="5">
        <v>44238</v>
      </c>
      <c r="C43" s="6" t="s">
        <v>11</v>
      </c>
      <c r="D43" s="6" t="s">
        <v>23</v>
      </c>
      <c r="E43" s="6" t="s">
        <v>13</v>
      </c>
      <c r="F43" s="10">
        <v>7</v>
      </c>
      <c r="G43" s="10">
        <v>2100</v>
      </c>
      <c r="H43" s="10">
        <f t="shared" si="1"/>
        <v>14700</v>
      </c>
    </row>
    <row r="44" spans="1:8" x14ac:dyDescent="0.25">
      <c r="A44" s="4">
        <v>43</v>
      </c>
      <c r="B44" s="5">
        <v>44239</v>
      </c>
      <c r="C44" s="6" t="s">
        <v>14</v>
      </c>
      <c r="D44" s="6" t="s">
        <v>23</v>
      </c>
      <c r="E44" s="6" t="s">
        <v>13</v>
      </c>
      <c r="F44" s="10">
        <v>7</v>
      </c>
      <c r="G44" s="10">
        <v>2100</v>
      </c>
      <c r="H44" s="10">
        <f t="shared" si="1"/>
        <v>14700</v>
      </c>
    </row>
    <row r="45" spans="1:8" x14ac:dyDescent="0.25">
      <c r="A45" s="4">
        <v>44</v>
      </c>
      <c r="B45" s="5">
        <v>44240</v>
      </c>
      <c r="C45" s="6" t="s">
        <v>16</v>
      </c>
      <c r="D45" s="6" t="s">
        <v>23</v>
      </c>
      <c r="E45" s="6" t="s">
        <v>13</v>
      </c>
      <c r="F45" s="10">
        <v>7</v>
      </c>
      <c r="G45" s="10">
        <v>2100</v>
      </c>
      <c r="H45" s="10">
        <f t="shared" si="1"/>
        <v>14700</v>
      </c>
    </row>
    <row r="46" spans="1:8" x14ac:dyDescent="0.25">
      <c r="A46" s="4">
        <v>45</v>
      </c>
      <c r="B46" s="5">
        <v>44241</v>
      </c>
      <c r="C46" s="6" t="s">
        <v>18</v>
      </c>
      <c r="D46" s="6" t="s">
        <v>23</v>
      </c>
      <c r="E46" s="6" t="s">
        <v>13</v>
      </c>
      <c r="F46" s="10">
        <v>7</v>
      </c>
      <c r="G46" s="10">
        <v>2100</v>
      </c>
      <c r="H46" s="10">
        <f t="shared" si="1"/>
        <v>14700</v>
      </c>
    </row>
    <row r="47" spans="1:8" x14ac:dyDescent="0.25">
      <c r="A47" s="4">
        <v>46</v>
      </c>
      <c r="B47" s="5">
        <v>44242</v>
      </c>
      <c r="C47" s="6" t="s">
        <v>20</v>
      </c>
      <c r="D47" s="6" t="s">
        <v>23</v>
      </c>
      <c r="E47" s="6" t="s">
        <v>13</v>
      </c>
      <c r="F47" s="10">
        <v>7</v>
      </c>
      <c r="G47" s="10">
        <v>2100</v>
      </c>
      <c r="H47" s="10">
        <f t="shared" si="1"/>
        <v>14700</v>
      </c>
    </row>
    <row r="48" spans="1:8" x14ac:dyDescent="0.25">
      <c r="A48" s="4">
        <v>47</v>
      </c>
      <c r="B48" s="5">
        <v>44243</v>
      </c>
      <c r="C48" s="6" t="s">
        <v>20</v>
      </c>
      <c r="D48" s="6" t="s">
        <v>9</v>
      </c>
      <c r="E48" s="6" t="s">
        <v>13</v>
      </c>
      <c r="F48" s="10">
        <v>7</v>
      </c>
      <c r="G48" s="10">
        <v>2100</v>
      </c>
      <c r="H48" s="10">
        <f t="shared" si="1"/>
        <v>14700</v>
      </c>
    </row>
    <row r="49" spans="1:8" x14ac:dyDescent="0.25">
      <c r="A49" s="4">
        <v>48</v>
      </c>
      <c r="B49" s="5">
        <v>44244</v>
      </c>
      <c r="C49" s="6" t="s">
        <v>20</v>
      </c>
      <c r="D49" s="6" t="s">
        <v>12</v>
      </c>
      <c r="E49" s="6" t="s">
        <v>13</v>
      </c>
      <c r="F49" s="10">
        <v>7</v>
      </c>
      <c r="G49" s="10">
        <v>2100</v>
      </c>
      <c r="H49" s="10">
        <f t="shared" si="1"/>
        <v>14700</v>
      </c>
    </row>
    <row r="50" spans="1:8" x14ac:dyDescent="0.25">
      <c r="A50" s="4">
        <v>49</v>
      </c>
      <c r="B50" s="5">
        <v>44245</v>
      </c>
      <c r="C50" s="6" t="s">
        <v>20</v>
      </c>
      <c r="D50" s="6" t="s">
        <v>22</v>
      </c>
      <c r="E50" s="6" t="s">
        <v>13</v>
      </c>
      <c r="F50" s="10">
        <v>7</v>
      </c>
      <c r="G50" s="10">
        <v>2100</v>
      </c>
      <c r="H50" s="10">
        <f t="shared" si="1"/>
        <v>14700</v>
      </c>
    </row>
    <row r="51" spans="1:8" x14ac:dyDescent="0.25">
      <c r="A51" s="4">
        <v>50</v>
      </c>
      <c r="B51" s="5">
        <v>44246</v>
      </c>
      <c r="C51" s="6" t="s">
        <v>20</v>
      </c>
      <c r="D51" s="6" t="s">
        <v>23</v>
      </c>
      <c r="E51" s="6" t="s">
        <v>13</v>
      </c>
      <c r="F51" s="10">
        <v>7</v>
      </c>
      <c r="G51" s="10">
        <v>2100</v>
      </c>
      <c r="H51" s="10">
        <f t="shared" si="1"/>
        <v>14700</v>
      </c>
    </row>
    <row r="52" spans="1:8" x14ac:dyDescent="0.25">
      <c r="A52" s="4">
        <v>51</v>
      </c>
      <c r="B52" s="5">
        <v>44247</v>
      </c>
      <c r="C52" s="6" t="s">
        <v>20</v>
      </c>
      <c r="D52" s="6" t="s">
        <v>9</v>
      </c>
      <c r="E52" s="6" t="s">
        <v>10</v>
      </c>
      <c r="F52" s="10">
        <v>7</v>
      </c>
      <c r="G52" s="10">
        <v>210</v>
      </c>
      <c r="H52" s="10">
        <f t="shared" si="1"/>
        <v>1470</v>
      </c>
    </row>
    <row r="53" spans="1:8" x14ac:dyDescent="0.25">
      <c r="A53" s="4">
        <v>52</v>
      </c>
      <c r="B53" s="5">
        <v>44248</v>
      </c>
      <c r="C53" s="6" t="s">
        <v>20</v>
      </c>
      <c r="D53" s="6" t="s">
        <v>12</v>
      </c>
      <c r="E53" s="6" t="s">
        <v>13</v>
      </c>
      <c r="F53" s="10">
        <v>6</v>
      </c>
      <c r="G53" s="10">
        <v>2100</v>
      </c>
      <c r="H53" s="10">
        <f t="shared" si="1"/>
        <v>12600</v>
      </c>
    </row>
    <row r="54" spans="1:8" x14ac:dyDescent="0.25">
      <c r="A54" s="4">
        <v>53</v>
      </c>
      <c r="B54" s="5">
        <v>44249</v>
      </c>
      <c r="C54" s="6" t="s">
        <v>20</v>
      </c>
      <c r="D54" s="6" t="s">
        <v>22</v>
      </c>
      <c r="E54" s="6" t="s">
        <v>15</v>
      </c>
      <c r="F54" s="10">
        <v>5</v>
      </c>
      <c r="G54" s="10">
        <v>1200</v>
      </c>
      <c r="H54" s="10">
        <f t="shared" si="1"/>
        <v>6000</v>
      </c>
    </row>
    <row r="55" spans="1:8" x14ac:dyDescent="0.25">
      <c r="A55" s="4">
        <v>54</v>
      </c>
      <c r="B55" s="5">
        <v>44250</v>
      </c>
      <c r="C55" s="6" t="s">
        <v>20</v>
      </c>
      <c r="D55" s="6" t="s">
        <v>23</v>
      </c>
      <c r="E55" s="6" t="s">
        <v>17</v>
      </c>
      <c r="F55" s="10">
        <v>4</v>
      </c>
      <c r="G55" s="10">
        <v>1500</v>
      </c>
      <c r="H55" s="10">
        <f t="shared" si="1"/>
        <v>6000</v>
      </c>
    </row>
    <row r="56" spans="1:8" x14ac:dyDescent="0.25">
      <c r="A56" s="4">
        <v>55</v>
      </c>
      <c r="B56" s="5">
        <v>44251</v>
      </c>
      <c r="C56" s="6" t="s">
        <v>8</v>
      </c>
      <c r="D56" s="6" t="s">
        <v>9</v>
      </c>
      <c r="E56" s="6" t="s">
        <v>19</v>
      </c>
      <c r="F56" s="10">
        <v>3</v>
      </c>
      <c r="G56" s="10">
        <v>300</v>
      </c>
      <c r="H56" s="10">
        <f t="shared" si="1"/>
        <v>900</v>
      </c>
    </row>
    <row r="57" spans="1:8" x14ac:dyDescent="0.25">
      <c r="A57" s="4">
        <v>56</v>
      </c>
      <c r="B57" s="5">
        <v>44252</v>
      </c>
      <c r="C57" s="6" t="s">
        <v>11</v>
      </c>
      <c r="D57" s="6" t="s">
        <v>12</v>
      </c>
      <c r="E57" s="6" t="s">
        <v>21</v>
      </c>
      <c r="F57" s="10">
        <v>2</v>
      </c>
      <c r="G57" s="10">
        <v>190</v>
      </c>
      <c r="H57" s="10">
        <f t="shared" si="1"/>
        <v>380</v>
      </c>
    </row>
    <row r="58" spans="1:8" x14ac:dyDescent="0.25">
      <c r="A58" s="4">
        <v>57</v>
      </c>
      <c r="B58" s="5">
        <v>44253</v>
      </c>
      <c r="C58" s="6" t="s">
        <v>14</v>
      </c>
      <c r="D58" s="6" t="s">
        <v>9</v>
      </c>
      <c r="E58" s="6" t="s">
        <v>10</v>
      </c>
      <c r="F58" s="10">
        <v>7</v>
      </c>
      <c r="G58" s="10">
        <v>210</v>
      </c>
      <c r="H58" s="10">
        <f t="shared" si="1"/>
        <v>1470</v>
      </c>
    </row>
    <row r="59" spans="1:8" x14ac:dyDescent="0.25">
      <c r="A59" s="4">
        <v>58</v>
      </c>
      <c r="B59" s="5">
        <v>44254</v>
      </c>
      <c r="C59" s="6" t="s">
        <v>16</v>
      </c>
      <c r="D59" s="6" t="s">
        <v>12</v>
      </c>
      <c r="E59" s="6" t="s">
        <v>13</v>
      </c>
      <c r="F59" s="10">
        <v>6</v>
      </c>
      <c r="G59" s="10">
        <v>2100</v>
      </c>
      <c r="H59" s="10">
        <f t="shared" si="1"/>
        <v>12600</v>
      </c>
    </row>
    <row r="60" spans="1:8" x14ac:dyDescent="0.25">
      <c r="A60" s="4">
        <v>59</v>
      </c>
      <c r="B60" s="5">
        <v>44255</v>
      </c>
      <c r="C60" s="6" t="s">
        <v>18</v>
      </c>
      <c r="D60" s="6" t="s">
        <v>9</v>
      </c>
      <c r="E60" s="6" t="s">
        <v>15</v>
      </c>
      <c r="F60" s="10">
        <v>5</v>
      </c>
      <c r="G60" s="10">
        <v>1200</v>
      </c>
      <c r="H60" s="10">
        <f t="shared" si="1"/>
        <v>6000</v>
      </c>
    </row>
    <row r="61" spans="1:8" x14ac:dyDescent="0.25">
      <c r="A61" s="4">
        <v>60</v>
      </c>
      <c r="B61" s="5">
        <v>44256</v>
      </c>
      <c r="C61" s="6" t="s">
        <v>20</v>
      </c>
      <c r="D61" s="6" t="s">
        <v>9</v>
      </c>
      <c r="E61" s="6" t="s">
        <v>17</v>
      </c>
      <c r="F61" s="10">
        <v>4</v>
      </c>
      <c r="G61" s="10">
        <v>1500</v>
      </c>
      <c r="H61" s="10">
        <f t="shared" si="1"/>
        <v>6000</v>
      </c>
    </row>
    <row r="62" spans="1:8" x14ac:dyDescent="0.25">
      <c r="A62" s="4">
        <v>61</v>
      </c>
      <c r="B62" s="5">
        <v>44257</v>
      </c>
      <c r="C62" s="6" t="s">
        <v>8</v>
      </c>
      <c r="D62" s="6" t="s">
        <v>9</v>
      </c>
      <c r="E62" s="6" t="s">
        <v>19</v>
      </c>
      <c r="F62" s="10">
        <v>3</v>
      </c>
      <c r="G62" s="10">
        <v>300</v>
      </c>
      <c r="H62" s="10">
        <f t="shared" si="1"/>
        <v>900</v>
      </c>
    </row>
    <row r="63" spans="1:8" x14ac:dyDescent="0.25">
      <c r="A63" s="4">
        <v>62</v>
      </c>
      <c r="B63" s="5">
        <v>44258</v>
      </c>
      <c r="C63" s="6" t="s">
        <v>11</v>
      </c>
      <c r="D63" s="6" t="s">
        <v>12</v>
      </c>
      <c r="E63" s="6" t="s">
        <v>21</v>
      </c>
      <c r="F63" s="10">
        <v>2</v>
      </c>
      <c r="G63" s="10">
        <v>190</v>
      </c>
      <c r="H63" s="10">
        <f t="shared" si="1"/>
        <v>380</v>
      </c>
    </row>
    <row r="64" spans="1:8" x14ac:dyDescent="0.25">
      <c r="A64" s="4">
        <v>63</v>
      </c>
      <c r="B64" s="5">
        <v>44259</v>
      </c>
      <c r="C64" s="6" t="s">
        <v>14</v>
      </c>
      <c r="D64" s="6" t="s">
        <v>12</v>
      </c>
      <c r="E64" s="6" t="s">
        <v>10</v>
      </c>
      <c r="F64" s="10">
        <v>2</v>
      </c>
      <c r="G64" s="10">
        <v>210</v>
      </c>
      <c r="H64" s="10">
        <f t="shared" si="1"/>
        <v>420</v>
      </c>
    </row>
    <row r="65" spans="1:8" x14ac:dyDescent="0.25">
      <c r="A65" s="4">
        <v>64</v>
      </c>
      <c r="B65" s="5">
        <v>44260</v>
      </c>
      <c r="C65" s="6" t="s">
        <v>16</v>
      </c>
      <c r="D65" s="6" t="s">
        <v>9</v>
      </c>
      <c r="E65" s="6" t="s">
        <v>13</v>
      </c>
      <c r="F65" s="10">
        <v>7</v>
      </c>
      <c r="G65" s="10">
        <v>2100</v>
      </c>
      <c r="H65" s="10">
        <f t="shared" si="1"/>
        <v>14700</v>
      </c>
    </row>
    <row r="66" spans="1:8" x14ac:dyDescent="0.25">
      <c r="A66" s="4">
        <v>65</v>
      </c>
      <c r="B66" s="5">
        <v>44261</v>
      </c>
      <c r="C66" s="6" t="s">
        <v>18</v>
      </c>
      <c r="D66" s="6" t="s">
        <v>9</v>
      </c>
      <c r="E66" s="6" t="s">
        <v>15</v>
      </c>
      <c r="F66" s="10">
        <v>6</v>
      </c>
      <c r="G66" s="10">
        <v>1200</v>
      </c>
      <c r="H66" s="10">
        <f t="shared" si="1"/>
        <v>7200</v>
      </c>
    </row>
    <row r="67" spans="1:8" x14ac:dyDescent="0.25">
      <c r="A67" s="4">
        <v>66</v>
      </c>
      <c r="B67" s="5">
        <v>44262</v>
      </c>
      <c r="C67" s="6" t="s">
        <v>20</v>
      </c>
      <c r="D67" s="6" t="s">
        <v>12</v>
      </c>
      <c r="E67" s="6" t="s">
        <v>17</v>
      </c>
      <c r="F67" s="10">
        <v>5</v>
      </c>
      <c r="G67" s="10">
        <v>1500</v>
      </c>
      <c r="H67" s="10">
        <f t="shared" si="1"/>
        <v>7500</v>
      </c>
    </row>
    <row r="68" spans="1:8" x14ac:dyDescent="0.25">
      <c r="A68" s="4">
        <v>67</v>
      </c>
      <c r="B68" s="5">
        <v>44263</v>
      </c>
      <c r="C68" s="6" t="s">
        <v>20</v>
      </c>
      <c r="D68" s="6" t="s">
        <v>9</v>
      </c>
      <c r="E68" s="6" t="s">
        <v>19</v>
      </c>
      <c r="F68" s="10">
        <v>4</v>
      </c>
      <c r="G68" s="10">
        <v>300</v>
      </c>
      <c r="H68" s="10">
        <f t="shared" si="1"/>
        <v>1200</v>
      </c>
    </row>
    <row r="69" spans="1:8" x14ac:dyDescent="0.25">
      <c r="A69" s="4">
        <v>68</v>
      </c>
      <c r="B69" s="5">
        <v>44264</v>
      </c>
      <c r="C69" s="6" t="s">
        <v>8</v>
      </c>
      <c r="D69" s="6" t="s">
        <v>9</v>
      </c>
      <c r="E69" s="6" t="s">
        <v>21</v>
      </c>
      <c r="F69" s="10">
        <v>3</v>
      </c>
      <c r="G69" s="10">
        <v>190</v>
      </c>
      <c r="H69" s="10">
        <f t="shared" si="1"/>
        <v>570</v>
      </c>
    </row>
    <row r="70" spans="1:8" x14ac:dyDescent="0.25">
      <c r="A70" s="4">
        <v>69</v>
      </c>
      <c r="B70" s="5">
        <v>44265</v>
      </c>
      <c r="C70" s="6" t="s">
        <v>11</v>
      </c>
      <c r="D70" s="6" t="s">
        <v>9</v>
      </c>
      <c r="E70" s="6" t="s">
        <v>10</v>
      </c>
      <c r="F70" s="10">
        <v>2</v>
      </c>
      <c r="G70" s="10">
        <v>210</v>
      </c>
      <c r="H70" s="10">
        <f t="shared" si="1"/>
        <v>420</v>
      </c>
    </row>
    <row r="71" spans="1:8" x14ac:dyDescent="0.25">
      <c r="A71" s="4">
        <v>70</v>
      </c>
      <c r="B71" s="5">
        <v>44266</v>
      </c>
      <c r="C71" s="6" t="s">
        <v>14</v>
      </c>
      <c r="D71" s="6" t="s">
        <v>9</v>
      </c>
      <c r="E71" s="6" t="s">
        <v>21</v>
      </c>
      <c r="F71" s="10">
        <v>3</v>
      </c>
      <c r="G71" s="10">
        <v>190</v>
      </c>
      <c r="H71" s="10">
        <f t="shared" si="1"/>
        <v>570</v>
      </c>
    </row>
    <row r="72" spans="1:8" x14ac:dyDescent="0.25">
      <c r="A72" s="4">
        <v>71</v>
      </c>
      <c r="B72" s="5">
        <v>44267</v>
      </c>
      <c r="C72" s="6" t="s">
        <v>16</v>
      </c>
      <c r="D72" s="6" t="s">
        <v>9</v>
      </c>
      <c r="E72" s="6" t="s">
        <v>10</v>
      </c>
      <c r="F72" s="10">
        <v>2</v>
      </c>
      <c r="G72" s="10">
        <v>210</v>
      </c>
      <c r="H72" s="10">
        <f t="shared" si="1"/>
        <v>420</v>
      </c>
    </row>
    <row r="73" spans="1:8" x14ac:dyDescent="0.25">
      <c r="A73" s="4">
        <v>72</v>
      </c>
      <c r="B73" s="5">
        <v>44268</v>
      </c>
      <c r="C73" s="6" t="s">
        <v>18</v>
      </c>
      <c r="D73" s="6" t="s">
        <v>9</v>
      </c>
      <c r="E73" s="6" t="s">
        <v>21</v>
      </c>
      <c r="F73" s="10">
        <v>3</v>
      </c>
      <c r="G73" s="10">
        <v>190</v>
      </c>
      <c r="H73" s="10">
        <f t="shared" si="1"/>
        <v>570</v>
      </c>
    </row>
    <row r="74" spans="1:8" x14ac:dyDescent="0.25">
      <c r="A74" s="4">
        <v>73</v>
      </c>
      <c r="B74" s="5">
        <v>44269</v>
      </c>
      <c r="C74" s="6" t="s">
        <v>20</v>
      </c>
      <c r="D74" s="6" t="s">
        <v>9</v>
      </c>
      <c r="E74" s="6" t="s">
        <v>10</v>
      </c>
      <c r="F74" s="10">
        <v>2</v>
      </c>
      <c r="G74" s="10">
        <v>210</v>
      </c>
      <c r="H74" s="10">
        <f t="shared" si="1"/>
        <v>420</v>
      </c>
    </row>
    <row r="75" spans="1:8" x14ac:dyDescent="0.25">
      <c r="A75" s="4">
        <v>74</v>
      </c>
      <c r="B75" s="5">
        <v>44270</v>
      </c>
      <c r="C75" s="6" t="s">
        <v>8</v>
      </c>
      <c r="D75" s="6" t="s">
        <v>9</v>
      </c>
      <c r="E75" s="6" t="s">
        <v>21</v>
      </c>
      <c r="F75" s="10">
        <v>3</v>
      </c>
      <c r="G75" s="10">
        <v>190</v>
      </c>
      <c r="H75" s="10">
        <f t="shared" si="1"/>
        <v>570</v>
      </c>
    </row>
    <row r="76" spans="1:8" x14ac:dyDescent="0.25">
      <c r="A76" s="4">
        <v>75</v>
      </c>
      <c r="B76" s="5">
        <v>44271</v>
      </c>
      <c r="C76" s="6" t="s">
        <v>11</v>
      </c>
      <c r="D76" s="6" t="s">
        <v>12</v>
      </c>
      <c r="E76" s="6" t="s">
        <v>10</v>
      </c>
      <c r="F76" s="10">
        <v>2</v>
      </c>
      <c r="G76" s="10">
        <v>210</v>
      </c>
      <c r="H76" s="10">
        <f t="shared" si="1"/>
        <v>420</v>
      </c>
    </row>
    <row r="77" spans="1:8" x14ac:dyDescent="0.25">
      <c r="A77" s="4">
        <v>76</v>
      </c>
      <c r="B77" s="5">
        <v>44272</v>
      </c>
      <c r="C77" s="6" t="s">
        <v>14</v>
      </c>
      <c r="D77" s="6" t="s">
        <v>9</v>
      </c>
      <c r="E77" s="6" t="s">
        <v>21</v>
      </c>
      <c r="F77" s="10">
        <v>3</v>
      </c>
      <c r="G77" s="10">
        <v>190</v>
      </c>
      <c r="H77" s="10">
        <f t="shared" si="1"/>
        <v>570</v>
      </c>
    </row>
    <row r="78" spans="1:8" x14ac:dyDescent="0.25">
      <c r="A78" s="4">
        <v>77</v>
      </c>
      <c r="B78" s="5">
        <v>44273</v>
      </c>
      <c r="C78" s="6" t="s">
        <v>16</v>
      </c>
      <c r="D78" s="6" t="s">
        <v>12</v>
      </c>
      <c r="E78" s="6" t="s">
        <v>10</v>
      </c>
      <c r="F78" s="10">
        <v>2</v>
      </c>
      <c r="G78" s="10">
        <v>210</v>
      </c>
      <c r="H78" s="10">
        <f t="shared" si="1"/>
        <v>420</v>
      </c>
    </row>
    <row r="79" spans="1:8" x14ac:dyDescent="0.25">
      <c r="A79" s="4">
        <v>78</v>
      </c>
      <c r="B79" s="5">
        <v>44274</v>
      </c>
      <c r="C79" s="6" t="s">
        <v>18</v>
      </c>
      <c r="D79" s="6" t="s">
        <v>9</v>
      </c>
      <c r="E79" s="6" t="s">
        <v>15</v>
      </c>
      <c r="F79" s="10">
        <v>5</v>
      </c>
      <c r="G79" s="10">
        <v>1200</v>
      </c>
      <c r="H79" s="10">
        <f t="shared" si="1"/>
        <v>6000</v>
      </c>
    </row>
    <row r="80" spans="1:8" x14ac:dyDescent="0.25">
      <c r="A80" s="4">
        <v>79</v>
      </c>
      <c r="B80" s="5">
        <v>44275</v>
      </c>
      <c r="C80" s="6" t="s">
        <v>20</v>
      </c>
      <c r="D80" s="6" t="s">
        <v>9</v>
      </c>
      <c r="E80" s="6" t="s">
        <v>17</v>
      </c>
      <c r="F80" s="10">
        <v>4</v>
      </c>
      <c r="G80" s="10">
        <v>1500</v>
      </c>
      <c r="H80" s="10">
        <f t="shared" si="1"/>
        <v>6000</v>
      </c>
    </row>
    <row r="81" spans="1:8" x14ac:dyDescent="0.25">
      <c r="A81" s="4">
        <v>80</v>
      </c>
      <c r="B81" s="5">
        <v>44276</v>
      </c>
      <c r="C81" s="6" t="s">
        <v>20</v>
      </c>
      <c r="D81" s="6" t="s">
        <v>9</v>
      </c>
      <c r="E81" s="6" t="s">
        <v>19</v>
      </c>
      <c r="F81" s="10">
        <v>3</v>
      </c>
      <c r="G81" s="10">
        <v>300</v>
      </c>
      <c r="H81" s="10">
        <f t="shared" si="1"/>
        <v>900</v>
      </c>
    </row>
    <row r="82" spans="1:8" x14ac:dyDescent="0.25">
      <c r="A82" s="4">
        <v>81</v>
      </c>
      <c r="B82" s="5">
        <v>44277</v>
      </c>
      <c r="C82" s="6" t="s">
        <v>8</v>
      </c>
      <c r="D82" s="6" t="s">
        <v>9</v>
      </c>
      <c r="E82" s="6" t="s">
        <v>21</v>
      </c>
      <c r="F82" s="10">
        <v>2</v>
      </c>
      <c r="G82" s="10">
        <v>190</v>
      </c>
      <c r="H82" s="10">
        <f t="shared" si="1"/>
        <v>380</v>
      </c>
    </row>
    <row r="83" spans="1:8" x14ac:dyDescent="0.25">
      <c r="A83" s="4">
        <v>82</v>
      </c>
      <c r="B83" s="5">
        <v>44278</v>
      </c>
      <c r="C83" s="6" t="s">
        <v>8</v>
      </c>
      <c r="D83" s="6" t="s">
        <v>12</v>
      </c>
      <c r="E83" s="6" t="s">
        <v>10</v>
      </c>
      <c r="F83" s="10">
        <v>7</v>
      </c>
      <c r="G83" s="10">
        <v>210</v>
      </c>
      <c r="H83" s="10">
        <f t="shared" si="1"/>
        <v>1470</v>
      </c>
    </row>
    <row r="84" spans="1:8" x14ac:dyDescent="0.25">
      <c r="A84" s="4">
        <v>83</v>
      </c>
      <c r="B84" s="5">
        <v>44279</v>
      </c>
      <c r="C84" s="6" t="s">
        <v>8</v>
      </c>
      <c r="D84" s="6" t="s">
        <v>22</v>
      </c>
      <c r="E84" s="6" t="s">
        <v>13</v>
      </c>
      <c r="F84" s="10">
        <v>6</v>
      </c>
      <c r="G84" s="10">
        <v>2100</v>
      </c>
      <c r="H84" s="10">
        <f t="shared" si="1"/>
        <v>12600</v>
      </c>
    </row>
    <row r="85" spans="1:8" x14ac:dyDescent="0.25">
      <c r="A85" s="4">
        <v>84</v>
      </c>
      <c r="B85" s="5">
        <v>44280</v>
      </c>
      <c r="C85" s="6" t="s">
        <v>8</v>
      </c>
      <c r="D85" s="6" t="s">
        <v>23</v>
      </c>
      <c r="E85" s="6" t="s">
        <v>15</v>
      </c>
      <c r="F85" s="10">
        <v>5</v>
      </c>
      <c r="G85" s="10">
        <v>1200</v>
      </c>
      <c r="H85" s="10">
        <f t="shared" si="1"/>
        <v>6000</v>
      </c>
    </row>
    <row r="86" spans="1:8" x14ac:dyDescent="0.25">
      <c r="A86" s="4">
        <v>85</v>
      </c>
      <c r="B86" s="5">
        <v>44281</v>
      </c>
      <c r="C86" s="6" t="s">
        <v>8</v>
      </c>
      <c r="D86" s="6" t="s">
        <v>9</v>
      </c>
      <c r="E86" s="6" t="s">
        <v>17</v>
      </c>
      <c r="F86" s="10">
        <v>4</v>
      </c>
      <c r="G86" s="10">
        <v>1500</v>
      </c>
      <c r="H86" s="10">
        <f t="shared" si="1"/>
        <v>6000</v>
      </c>
    </row>
    <row r="87" spans="1:8" x14ac:dyDescent="0.25">
      <c r="A87" s="4">
        <v>86</v>
      </c>
      <c r="B87" s="5">
        <v>44282</v>
      </c>
      <c r="C87" s="6" t="s">
        <v>8</v>
      </c>
      <c r="D87" s="6" t="s">
        <v>12</v>
      </c>
      <c r="E87" s="6" t="s">
        <v>19</v>
      </c>
      <c r="F87" s="10">
        <v>3</v>
      </c>
      <c r="G87" s="10">
        <v>300</v>
      </c>
      <c r="H87" s="10">
        <f t="shared" si="1"/>
        <v>900</v>
      </c>
    </row>
    <row r="88" spans="1:8" x14ac:dyDescent="0.25">
      <c r="A88" s="4">
        <v>87</v>
      </c>
      <c r="B88" s="5">
        <v>44283</v>
      </c>
      <c r="C88" s="6" t="s">
        <v>8</v>
      </c>
      <c r="D88" s="6" t="s">
        <v>22</v>
      </c>
      <c r="E88" s="6" t="s">
        <v>21</v>
      </c>
      <c r="F88" s="10">
        <v>2</v>
      </c>
      <c r="G88" s="10">
        <v>190</v>
      </c>
      <c r="H88" s="10">
        <f t="shared" si="1"/>
        <v>380</v>
      </c>
    </row>
    <row r="89" spans="1:8" x14ac:dyDescent="0.25">
      <c r="A89" s="4">
        <v>88</v>
      </c>
      <c r="B89" s="5">
        <v>44284</v>
      </c>
      <c r="C89" s="6" t="s">
        <v>8</v>
      </c>
      <c r="D89" s="6" t="s">
        <v>23</v>
      </c>
      <c r="E89" s="6" t="s">
        <v>10</v>
      </c>
      <c r="F89" s="10">
        <v>2</v>
      </c>
      <c r="G89" s="10">
        <v>210</v>
      </c>
      <c r="H89" s="10">
        <f t="shared" si="1"/>
        <v>420</v>
      </c>
    </row>
    <row r="90" spans="1:8" x14ac:dyDescent="0.25">
      <c r="A90" s="4">
        <v>89</v>
      </c>
      <c r="B90" s="5">
        <v>44285</v>
      </c>
      <c r="C90" s="6" t="s">
        <v>11</v>
      </c>
      <c r="D90" s="6" t="s">
        <v>12</v>
      </c>
      <c r="E90" s="6" t="s">
        <v>19</v>
      </c>
      <c r="F90" s="10">
        <v>3</v>
      </c>
      <c r="G90" s="10">
        <v>300</v>
      </c>
      <c r="H90" s="10">
        <f t="shared" si="1"/>
        <v>900</v>
      </c>
    </row>
    <row r="91" spans="1:8" x14ac:dyDescent="0.25">
      <c r="A91" s="4">
        <v>90</v>
      </c>
      <c r="B91" s="5">
        <v>44286</v>
      </c>
      <c r="C91" s="6" t="s">
        <v>11</v>
      </c>
      <c r="D91" s="6" t="s">
        <v>9</v>
      </c>
      <c r="E91" s="6" t="s">
        <v>19</v>
      </c>
      <c r="F91" s="10">
        <v>3</v>
      </c>
      <c r="G91" s="10">
        <v>300</v>
      </c>
      <c r="H91" s="10">
        <f t="shared" si="1"/>
        <v>900</v>
      </c>
    </row>
    <row r="92" spans="1:8" x14ac:dyDescent="0.25">
      <c r="A92" s="4">
        <v>91</v>
      </c>
      <c r="B92" s="5">
        <v>44287</v>
      </c>
      <c r="C92" s="6" t="s">
        <v>11</v>
      </c>
      <c r="D92" s="6" t="s">
        <v>22</v>
      </c>
      <c r="E92" s="6" t="s">
        <v>19</v>
      </c>
      <c r="F92" s="10">
        <v>3</v>
      </c>
      <c r="G92" s="10">
        <v>300</v>
      </c>
      <c r="H92" s="10">
        <f t="shared" si="1"/>
        <v>900</v>
      </c>
    </row>
    <row r="93" spans="1:8" x14ac:dyDescent="0.25">
      <c r="A93" s="4">
        <v>92</v>
      </c>
      <c r="B93" s="5">
        <v>44288</v>
      </c>
      <c r="C93" s="6" t="s">
        <v>11</v>
      </c>
      <c r="D93" s="6" t="s">
        <v>23</v>
      </c>
      <c r="E93" s="6" t="s">
        <v>19</v>
      </c>
      <c r="F93" s="10">
        <v>3</v>
      </c>
      <c r="G93" s="10">
        <v>300</v>
      </c>
      <c r="H93" s="10">
        <f t="shared" si="1"/>
        <v>900</v>
      </c>
    </row>
    <row r="94" spans="1:8" x14ac:dyDescent="0.25">
      <c r="A94" s="4">
        <v>93</v>
      </c>
      <c r="B94" s="5">
        <v>44289</v>
      </c>
      <c r="C94" s="6" t="s">
        <v>11</v>
      </c>
      <c r="D94" s="6" t="s">
        <v>12</v>
      </c>
      <c r="E94" s="6" t="s">
        <v>19</v>
      </c>
      <c r="F94" s="10">
        <v>3</v>
      </c>
      <c r="G94" s="10">
        <v>300</v>
      </c>
      <c r="H94" s="10">
        <f t="shared" si="1"/>
        <v>900</v>
      </c>
    </row>
    <row r="95" spans="1:8" x14ac:dyDescent="0.25">
      <c r="A95" s="4">
        <v>94</v>
      </c>
      <c r="B95" s="5">
        <v>44290</v>
      </c>
      <c r="C95" s="6" t="s">
        <v>11</v>
      </c>
      <c r="D95" s="6" t="s">
        <v>9</v>
      </c>
      <c r="E95" s="6" t="s">
        <v>19</v>
      </c>
      <c r="F95" s="10">
        <v>3</v>
      </c>
      <c r="G95" s="10">
        <v>300</v>
      </c>
      <c r="H95" s="10">
        <f t="shared" si="1"/>
        <v>900</v>
      </c>
    </row>
    <row r="96" spans="1:8" x14ac:dyDescent="0.25">
      <c r="A96" s="4">
        <v>95</v>
      </c>
      <c r="B96" s="5">
        <v>44291</v>
      </c>
      <c r="C96" s="6" t="s">
        <v>11</v>
      </c>
      <c r="D96" s="6" t="s">
        <v>22</v>
      </c>
      <c r="E96" s="6" t="s">
        <v>19</v>
      </c>
      <c r="F96" s="10">
        <v>3</v>
      </c>
      <c r="G96" s="10">
        <v>300</v>
      </c>
      <c r="H96" s="10">
        <f t="shared" si="1"/>
        <v>900</v>
      </c>
    </row>
    <row r="97" spans="1:8" x14ac:dyDescent="0.25">
      <c r="A97" s="4">
        <v>96</v>
      </c>
      <c r="B97" s="5">
        <v>44292</v>
      </c>
      <c r="C97" s="6" t="s">
        <v>11</v>
      </c>
      <c r="D97" s="6" t="s">
        <v>23</v>
      </c>
      <c r="E97" s="6" t="s">
        <v>19</v>
      </c>
      <c r="F97" s="10">
        <v>3</v>
      </c>
      <c r="G97" s="10">
        <v>300</v>
      </c>
      <c r="H97" s="10">
        <f t="shared" si="1"/>
        <v>900</v>
      </c>
    </row>
    <row r="98" spans="1:8" x14ac:dyDescent="0.25">
      <c r="A98" s="4">
        <v>97</v>
      </c>
      <c r="B98" s="5">
        <v>44293</v>
      </c>
      <c r="C98" s="6" t="s">
        <v>14</v>
      </c>
      <c r="D98" s="6" t="s">
        <v>23</v>
      </c>
      <c r="E98" s="6" t="s">
        <v>19</v>
      </c>
      <c r="F98" s="10">
        <v>3</v>
      </c>
      <c r="G98" s="10">
        <v>300</v>
      </c>
      <c r="H98" s="10">
        <f t="shared" si="1"/>
        <v>900</v>
      </c>
    </row>
    <row r="99" spans="1:8" x14ac:dyDescent="0.25">
      <c r="A99" s="4">
        <v>98</v>
      </c>
      <c r="B99" s="5">
        <v>44294</v>
      </c>
      <c r="C99" s="6" t="s">
        <v>16</v>
      </c>
      <c r="D99" s="6" t="s">
        <v>23</v>
      </c>
      <c r="E99" s="6" t="s">
        <v>19</v>
      </c>
      <c r="F99" s="10">
        <v>3</v>
      </c>
      <c r="G99" s="10">
        <v>300</v>
      </c>
      <c r="H99" s="10">
        <f t="shared" si="1"/>
        <v>900</v>
      </c>
    </row>
    <row r="100" spans="1:8" x14ac:dyDescent="0.25">
      <c r="A100" s="4">
        <v>99</v>
      </c>
      <c r="B100" s="5">
        <v>44295</v>
      </c>
      <c r="C100" s="6" t="s">
        <v>18</v>
      </c>
      <c r="D100" s="6" t="s">
        <v>23</v>
      </c>
      <c r="E100" s="6" t="s">
        <v>10</v>
      </c>
      <c r="F100" s="10">
        <v>3</v>
      </c>
      <c r="G100" s="10">
        <v>190</v>
      </c>
      <c r="H100" s="10">
        <f t="shared" si="1"/>
        <v>570</v>
      </c>
    </row>
    <row r="101" spans="1:8" x14ac:dyDescent="0.25">
      <c r="A101" s="4">
        <v>100</v>
      </c>
      <c r="B101" s="5">
        <v>44296</v>
      </c>
      <c r="C101" s="6" t="s">
        <v>20</v>
      </c>
      <c r="D101" s="6" t="s">
        <v>23</v>
      </c>
      <c r="E101" s="6" t="s">
        <v>13</v>
      </c>
      <c r="F101" s="10">
        <v>2</v>
      </c>
      <c r="G101" s="10">
        <v>2100</v>
      </c>
      <c r="H101" s="10">
        <f t="shared" si="1"/>
        <v>4200</v>
      </c>
    </row>
    <row r="102" spans="1:8" x14ac:dyDescent="0.25">
      <c r="A102" s="4">
        <v>101</v>
      </c>
      <c r="B102" s="5">
        <v>44297</v>
      </c>
      <c r="C102" s="6" t="s">
        <v>20</v>
      </c>
      <c r="D102" s="6" t="s">
        <v>9</v>
      </c>
      <c r="E102" s="6" t="s">
        <v>10</v>
      </c>
      <c r="F102" s="10">
        <v>7</v>
      </c>
      <c r="G102" s="10">
        <v>210</v>
      </c>
      <c r="H102" s="10">
        <f t="shared" si="1"/>
        <v>1470</v>
      </c>
    </row>
    <row r="103" spans="1:8" x14ac:dyDescent="0.25">
      <c r="A103" s="4">
        <v>102</v>
      </c>
      <c r="B103" s="5">
        <v>44298</v>
      </c>
      <c r="C103" s="6" t="s">
        <v>20</v>
      </c>
      <c r="D103" s="6" t="s">
        <v>12</v>
      </c>
      <c r="E103" s="6" t="s">
        <v>13</v>
      </c>
      <c r="F103" s="10">
        <v>6</v>
      </c>
      <c r="G103" s="10">
        <v>2100</v>
      </c>
      <c r="H103" s="10">
        <f t="shared" ref="H103:H166" si="2">F103*G103</f>
        <v>12600</v>
      </c>
    </row>
    <row r="104" spans="1:8" x14ac:dyDescent="0.25">
      <c r="A104" s="4">
        <v>103</v>
      </c>
      <c r="B104" s="5">
        <v>44299</v>
      </c>
      <c r="C104" s="6" t="s">
        <v>20</v>
      </c>
      <c r="D104" s="6" t="s">
        <v>22</v>
      </c>
      <c r="E104" s="6" t="s">
        <v>15</v>
      </c>
      <c r="F104" s="10">
        <v>5</v>
      </c>
      <c r="G104" s="10">
        <v>1200</v>
      </c>
      <c r="H104" s="10">
        <f t="shared" si="2"/>
        <v>6000</v>
      </c>
    </row>
    <row r="105" spans="1:8" x14ac:dyDescent="0.25">
      <c r="A105" s="4">
        <v>104</v>
      </c>
      <c r="B105" s="5">
        <v>44300</v>
      </c>
      <c r="C105" s="6" t="s">
        <v>20</v>
      </c>
      <c r="D105" s="6" t="s">
        <v>23</v>
      </c>
      <c r="E105" s="6" t="s">
        <v>13</v>
      </c>
      <c r="F105" s="10">
        <v>6</v>
      </c>
      <c r="G105" s="10">
        <v>2100</v>
      </c>
      <c r="H105" s="10">
        <f t="shared" si="2"/>
        <v>12600</v>
      </c>
    </row>
    <row r="106" spans="1:8" x14ac:dyDescent="0.25">
      <c r="A106" s="4">
        <v>105</v>
      </c>
      <c r="B106" s="5">
        <v>44301</v>
      </c>
      <c r="C106" s="6" t="s">
        <v>20</v>
      </c>
      <c r="D106" s="6" t="s">
        <v>9</v>
      </c>
      <c r="E106" s="6" t="s">
        <v>15</v>
      </c>
      <c r="F106" s="10">
        <v>5</v>
      </c>
      <c r="G106" s="10">
        <v>1200</v>
      </c>
      <c r="H106" s="10">
        <f t="shared" si="2"/>
        <v>6000</v>
      </c>
    </row>
    <row r="107" spans="1:8" x14ac:dyDescent="0.25">
      <c r="A107" s="4">
        <v>106</v>
      </c>
      <c r="B107" s="5">
        <v>44302</v>
      </c>
      <c r="C107" s="6" t="s">
        <v>20</v>
      </c>
      <c r="D107" s="6" t="s">
        <v>12</v>
      </c>
      <c r="E107" s="6" t="s">
        <v>21</v>
      </c>
      <c r="F107" s="10">
        <v>2</v>
      </c>
      <c r="G107" s="10">
        <v>190</v>
      </c>
      <c r="H107" s="10">
        <f t="shared" si="2"/>
        <v>380</v>
      </c>
    </row>
    <row r="108" spans="1:8" x14ac:dyDescent="0.25">
      <c r="A108" s="4">
        <v>107</v>
      </c>
      <c r="B108" s="5">
        <v>44303</v>
      </c>
      <c r="C108" s="6" t="s">
        <v>20</v>
      </c>
      <c r="D108" s="6" t="s">
        <v>22</v>
      </c>
      <c r="E108" s="6" t="s">
        <v>13</v>
      </c>
      <c r="F108" s="10">
        <v>6</v>
      </c>
      <c r="G108" s="10">
        <v>2100</v>
      </c>
      <c r="H108" s="10">
        <f t="shared" si="2"/>
        <v>12600</v>
      </c>
    </row>
    <row r="109" spans="1:8" x14ac:dyDescent="0.25">
      <c r="A109" s="4">
        <v>108</v>
      </c>
      <c r="B109" s="5">
        <v>44304</v>
      </c>
      <c r="C109" s="6" t="s">
        <v>20</v>
      </c>
      <c r="D109" s="6" t="s">
        <v>23</v>
      </c>
      <c r="E109" s="6" t="s">
        <v>15</v>
      </c>
      <c r="F109" s="10">
        <v>5</v>
      </c>
      <c r="G109" s="10">
        <v>1200</v>
      </c>
      <c r="H109" s="10">
        <f t="shared" si="2"/>
        <v>6000</v>
      </c>
    </row>
    <row r="110" spans="1:8" x14ac:dyDescent="0.25">
      <c r="A110" s="4">
        <v>109</v>
      </c>
      <c r="B110" s="5">
        <v>44305</v>
      </c>
      <c r="C110" s="6" t="s">
        <v>8</v>
      </c>
      <c r="D110" s="6" t="s">
        <v>9</v>
      </c>
      <c r="E110" s="6" t="s">
        <v>13</v>
      </c>
      <c r="F110" s="10">
        <v>6</v>
      </c>
      <c r="G110" s="10">
        <v>2100</v>
      </c>
      <c r="H110" s="10">
        <f t="shared" si="2"/>
        <v>12600</v>
      </c>
    </row>
    <row r="111" spans="1:8" x14ac:dyDescent="0.25">
      <c r="A111" s="4">
        <v>110</v>
      </c>
      <c r="B111" s="5">
        <v>44306</v>
      </c>
      <c r="C111" s="6" t="s">
        <v>11</v>
      </c>
      <c r="D111" s="6" t="s">
        <v>12</v>
      </c>
      <c r="E111" s="6" t="s">
        <v>15</v>
      </c>
      <c r="F111" s="10">
        <v>5</v>
      </c>
      <c r="G111" s="10">
        <v>1200</v>
      </c>
      <c r="H111" s="10">
        <f t="shared" si="2"/>
        <v>6000</v>
      </c>
    </row>
    <row r="112" spans="1:8" x14ac:dyDescent="0.25">
      <c r="A112" s="4">
        <v>111</v>
      </c>
      <c r="B112" s="5">
        <v>44307</v>
      </c>
      <c r="C112" s="6" t="s">
        <v>14</v>
      </c>
      <c r="D112" s="6" t="s">
        <v>9</v>
      </c>
      <c r="E112" s="6" t="s">
        <v>13</v>
      </c>
      <c r="F112" s="10">
        <v>6</v>
      </c>
      <c r="G112" s="10">
        <v>2100</v>
      </c>
      <c r="H112" s="10">
        <f t="shared" si="2"/>
        <v>12600</v>
      </c>
    </row>
    <row r="113" spans="1:8" x14ac:dyDescent="0.25">
      <c r="A113" s="4">
        <v>112</v>
      </c>
      <c r="B113" s="5">
        <v>44308</v>
      </c>
      <c r="C113" s="6" t="s">
        <v>16</v>
      </c>
      <c r="D113" s="6" t="s">
        <v>12</v>
      </c>
      <c r="E113" s="6" t="s">
        <v>15</v>
      </c>
      <c r="F113" s="10">
        <v>5</v>
      </c>
      <c r="G113" s="10">
        <v>1200</v>
      </c>
      <c r="H113" s="10">
        <f t="shared" si="2"/>
        <v>6000</v>
      </c>
    </row>
    <row r="114" spans="1:8" x14ac:dyDescent="0.25">
      <c r="A114" s="4">
        <v>113</v>
      </c>
      <c r="B114" s="5">
        <v>44309</v>
      </c>
      <c r="C114" s="6" t="s">
        <v>18</v>
      </c>
      <c r="D114" s="6" t="s">
        <v>9</v>
      </c>
      <c r="E114" s="6" t="s">
        <v>10</v>
      </c>
      <c r="F114" s="10">
        <v>2</v>
      </c>
      <c r="G114" s="10">
        <v>210</v>
      </c>
      <c r="H114" s="10">
        <f t="shared" si="2"/>
        <v>420</v>
      </c>
    </row>
    <row r="115" spans="1:8" x14ac:dyDescent="0.25">
      <c r="A115" s="4">
        <v>114</v>
      </c>
      <c r="B115" s="5">
        <v>44310</v>
      </c>
      <c r="C115" s="6" t="s">
        <v>20</v>
      </c>
      <c r="D115" s="6" t="s">
        <v>9</v>
      </c>
      <c r="E115" s="6" t="s">
        <v>13</v>
      </c>
      <c r="F115" s="10">
        <v>7</v>
      </c>
      <c r="G115" s="10">
        <v>2100</v>
      </c>
      <c r="H115" s="10">
        <f t="shared" si="2"/>
        <v>14700</v>
      </c>
    </row>
    <row r="116" spans="1:8" x14ac:dyDescent="0.25">
      <c r="A116" s="4">
        <v>115</v>
      </c>
      <c r="B116" s="5">
        <v>44311</v>
      </c>
      <c r="C116" s="6" t="s">
        <v>8</v>
      </c>
      <c r="D116" s="6" t="s">
        <v>9</v>
      </c>
      <c r="E116" s="6" t="s">
        <v>15</v>
      </c>
      <c r="F116" s="10">
        <v>6</v>
      </c>
      <c r="G116" s="10">
        <v>1200</v>
      </c>
      <c r="H116" s="10">
        <f t="shared" si="2"/>
        <v>7200</v>
      </c>
    </row>
    <row r="117" spans="1:8" x14ac:dyDescent="0.25">
      <c r="A117" s="4">
        <v>116</v>
      </c>
      <c r="B117" s="5">
        <v>44312</v>
      </c>
      <c r="C117" s="6" t="s">
        <v>11</v>
      </c>
      <c r="D117" s="6" t="s">
        <v>12</v>
      </c>
      <c r="E117" s="6" t="s">
        <v>17</v>
      </c>
      <c r="F117" s="10">
        <v>5</v>
      </c>
      <c r="G117" s="10">
        <v>1500</v>
      </c>
      <c r="H117" s="10">
        <f t="shared" si="2"/>
        <v>7500</v>
      </c>
    </row>
    <row r="118" spans="1:8" x14ac:dyDescent="0.25">
      <c r="A118" s="4">
        <v>117</v>
      </c>
      <c r="B118" s="5">
        <v>44313</v>
      </c>
      <c r="C118" s="6" t="s">
        <v>14</v>
      </c>
      <c r="D118" s="6" t="s">
        <v>12</v>
      </c>
      <c r="E118" s="6" t="s">
        <v>19</v>
      </c>
      <c r="F118" s="10">
        <v>4</v>
      </c>
      <c r="G118" s="10">
        <v>300</v>
      </c>
      <c r="H118" s="10">
        <f t="shared" si="2"/>
        <v>1200</v>
      </c>
    </row>
    <row r="119" spans="1:8" x14ac:dyDescent="0.25">
      <c r="A119" s="4">
        <v>118</v>
      </c>
      <c r="B119" s="5">
        <v>44314</v>
      </c>
      <c r="C119" s="6" t="s">
        <v>16</v>
      </c>
      <c r="D119" s="6" t="s">
        <v>9</v>
      </c>
      <c r="E119" s="6" t="s">
        <v>21</v>
      </c>
      <c r="F119" s="10">
        <v>3</v>
      </c>
      <c r="G119" s="10">
        <v>190</v>
      </c>
      <c r="H119" s="10">
        <f t="shared" si="2"/>
        <v>570</v>
      </c>
    </row>
    <row r="120" spans="1:8" x14ac:dyDescent="0.25">
      <c r="A120" s="4">
        <v>119</v>
      </c>
      <c r="B120" s="5">
        <v>44315</v>
      </c>
      <c r="C120" s="6" t="s">
        <v>18</v>
      </c>
      <c r="D120" s="6" t="s">
        <v>9</v>
      </c>
      <c r="E120" s="6" t="s">
        <v>10</v>
      </c>
      <c r="F120" s="10">
        <v>2</v>
      </c>
      <c r="G120" s="10">
        <v>210</v>
      </c>
      <c r="H120" s="10">
        <f t="shared" si="2"/>
        <v>420</v>
      </c>
    </row>
    <row r="121" spans="1:8" x14ac:dyDescent="0.25">
      <c r="A121" s="4">
        <v>120</v>
      </c>
      <c r="B121" s="5">
        <v>44316</v>
      </c>
      <c r="C121" s="6" t="s">
        <v>20</v>
      </c>
      <c r="D121" s="6" t="s">
        <v>12</v>
      </c>
      <c r="E121" s="6" t="s">
        <v>15</v>
      </c>
      <c r="F121" s="10">
        <v>7</v>
      </c>
      <c r="G121" s="10">
        <v>2100</v>
      </c>
      <c r="H121" s="10">
        <f t="shared" si="2"/>
        <v>14700</v>
      </c>
    </row>
    <row r="122" spans="1:8" x14ac:dyDescent="0.25">
      <c r="A122" s="4">
        <v>121</v>
      </c>
      <c r="B122" s="5">
        <v>44317</v>
      </c>
      <c r="C122" s="6" t="s">
        <v>20</v>
      </c>
      <c r="D122" s="6" t="s">
        <v>9</v>
      </c>
      <c r="E122" s="6" t="s">
        <v>17</v>
      </c>
      <c r="F122" s="10">
        <v>6</v>
      </c>
      <c r="G122" s="10">
        <v>1200</v>
      </c>
      <c r="H122" s="10">
        <f t="shared" si="2"/>
        <v>7200</v>
      </c>
    </row>
    <row r="123" spans="1:8" x14ac:dyDescent="0.25">
      <c r="A123" s="4">
        <v>122</v>
      </c>
      <c r="B123" s="5">
        <v>44318</v>
      </c>
      <c r="C123" s="6" t="s">
        <v>8</v>
      </c>
      <c r="D123" s="6" t="s">
        <v>9</v>
      </c>
      <c r="E123" s="6" t="s">
        <v>19</v>
      </c>
      <c r="F123" s="10">
        <v>5</v>
      </c>
      <c r="G123" s="10">
        <v>300</v>
      </c>
      <c r="H123" s="10">
        <f t="shared" si="2"/>
        <v>1500</v>
      </c>
    </row>
    <row r="124" spans="1:8" x14ac:dyDescent="0.25">
      <c r="A124" s="4">
        <v>123</v>
      </c>
      <c r="B124" s="5">
        <v>44319</v>
      </c>
      <c r="C124" s="6" t="s">
        <v>11</v>
      </c>
      <c r="D124" s="6" t="s">
        <v>9</v>
      </c>
      <c r="E124" s="6" t="s">
        <v>21</v>
      </c>
      <c r="F124" s="10">
        <v>4</v>
      </c>
      <c r="G124" s="10">
        <v>200</v>
      </c>
      <c r="H124" s="10">
        <f t="shared" si="2"/>
        <v>800</v>
      </c>
    </row>
    <row r="125" spans="1:8" x14ac:dyDescent="0.25">
      <c r="A125" s="4">
        <v>124</v>
      </c>
      <c r="B125" s="5">
        <v>44320</v>
      </c>
      <c r="C125" s="6" t="s">
        <v>14</v>
      </c>
      <c r="D125" s="6" t="s">
        <v>9</v>
      </c>
      <c r="E125" s="6" t="s">
        <v>10</v>
      </c>
      <c r="F125" s="10">
        <v>3</v>
      </c>
      <c r="G125" s="10">
        <v>190</v>
      </c>
      <c r="H125" s="10">
        <f t="shared" si="2"/>
        <v>570</v>
      </c>
    </row>
    <row r="126" spans="1:8" x14ac:dyDescent="0.25">
      <c r="A126" s="4">
        <v>125</v>
      </c>
      <c r="B126" s="5">
        <v>44321</v>
      </c>
      <c r="C126" s="6" t="s">
        <v>16</v>
      </c>
      <c r="D126" s="6" t="s">
        <v>9</v>
      </c>
      <c r="E126" s="6" t="s">
        <v>13</v>
      </c>
      <c r="F126" s="10">
        <v>2</v>
      </c>
      <c r="G126" s="10">
        <v>2100</v>
      </c>
      <c r="H126" s="10">
        <f t="shared" si="2"/>
        <v>4200</v>
      </c>
    </row>
    <row r="127" spans="1:8" x14ac:dyDescent="0.25">
      <c r="A127" s="4">
        <v>126</v>
      </c>
      <c r="B127" s="5">
        <v>44322</v>
      </c>
      <c r="C127" s="6" t="s">
        <v>18</v>
      </c>
      <c r="D127" s="6" t="s">
        <v>9</v>
      </c>
      <c r="E127" s="6" t="s">
        <v>10</v>
      </c>
      <c r="F127" s="10">
        <v>7</v>
      </c>
      <c r="G127" s="10">
        <v>210</v>
      </c>
      <c r="H127" s="10">
        <f t="shared" si="2"/>
        <v>1470</v>
      </c>
    </row>
    <row r="128" spans="1:8" x14ac:dyDescent="0.25">
      <c r="A128" s="4">
        <v>127</v>
      </c>
      <c r="B128" s="5">
        <v>44323</v>
      </c>
      <c r="C128" s="6" t="s">
        <v>20</v>
      </c>
      <c r="D128" s="6" t="s">
        <v>9</v>
      </c>
      <c r="E128" s="6" t="s">
        <v>13</v>
      </c>
      <c r="F128" s="10">
        <v>6</v>
      </c>
      <c r="G128" s="10">
        <v>2100</v>
      </c>
      <c r="H128" s="10">
        <f t="shared" si="2"/>
        <v>12600</v>
      </c>
    </row>
    <row r="129" spans="1:8" x14ac:dyDescent="0.25">
      <c r="A129" s="4">
        <v>128</v>
      </c>
      <c r="B129" s="5">
        <v>44324</v>
      </c>
      <c r="C129" s="6" t="s">
        <v>8</v>
      </c>
      <c r="D129" s="6" t="s">
        <v>9</v>
      </c>
      <c r="E129" s="6" t="s">
        <v>15</v>
      </c>
      <c r="F129" s="10">
        <v>5</v>
      </c>
      <c r="G129" s="10">
        <v>1200</v>
      </c>
      <c r="H129" s="10">
        <f t="shared" si="2"/>
        <v>6000</v>
      </c>
    </row>
    <row r="130" spans="1:8" x14ac:dyDescent="0.25">
      <c r="A130" s="4">
        <v>129</v>
      </c>
      <c r="B130" s="5">
        <v>44325</v>
      </c>
      <c r="C130" s="6" t="s">
        <v>11</v>
      </c>
      <c r="D130" s="6" t="s">
        <v>12</v>
      </c>
      <c r="E130" s="6" t="s">
        <v>17</v>
      </c>
      <c r="F130" s="10">
        <v>4</v>
      </c>
      <c r="G130" s="10">
        <v>1500</v>
      </c>
      <c r="H130" s="10">
        <f t="shared" si="2"/>
        <v>6000</v>
      </c>
    </row>
    <row r="131" spans="1:8" x14ac:dyDescent="0.25">
      <c r="A131" s="4">
        <v>130</v>
      </c>
      <c r="B131" s="5">
        <v>44326</v>
      </c>
      <c r="C131" s="6" t="s">
        <v>14</v>
      </c>
      <c r="D131" s="6" t="s">
        <v>9</v>
      </c>
      <c r="E131" s="6" t="s">
        <v>19</v>
      </c>
      <c r="F131" s="10">
        <v>3</v>
      </c>
      <c r="G131" s="10">
        <v>300</v>
      </c>
      <c r="H131" s="10">
        <f t="shared" si="2"/>
        <v>900</v>
      </c>
    </row>
    <row r="132" spans="1:8" x14ac:dyDescent="0.25">
      <c r="A132" s="4">
        <v>131</v>
      </c>
      <c r="B132" s="5">
        <v>44327</v>
      </c>
      <c r="C132" s="6" t="s">
        <v>16</v>
      </c>
      <c r="D132" s="6" t="s">
        <v>12</v>
      </c>
      <c r="E132" s="6" t="s">
        <v>21</v>
      </c>
      <c r="F132" s="10">
        <v>2</v>
      </c>
      <c r="G132" s="10">
        <v>190</v>
      </c>
      <c r="H132" s="10">
        <f t="shared" si="2"/>
        <v>380</v>
      </c>
    </row>
    <row r="133" spans="1:8" x14ac:dyDescent="0.25">
      <c r="A133" s="4">
        <v>132</v>
      </c>
      <c r="B133" s="5">
        <v>44328</v>
      </c>
      <c r="C133" s="6" t="s">
        <v>18</v>
      </c>
      <c r="D133" s="6" t="s">
        <v>9</v>
      </c>
      <c r="E133" s="6" t="s">
        <v>10</v>
      </c>
      <c r="F133" s="10">
        <v>7</v>
      </c>
      <c r="G133" s="10">
        <v>210</v>
      </c>
      <c r="H133" s="10">
        <f t="shared" si="2"/>
        <v>1470</v>
      </c>
    </row>
    <row r="134" spans="1:8" x14ac:dyDescent="0.25">
      <c r="A134" s="4">
        <v>133</v>
      </c>
      <c r="B134" s="5">
        <v>44329</v>
      </c>
      <c r="C134" s="6" t="s">
        <v>20</v>
      </c>
      <c r="D134" s="6" t="s">
        <v>9</v>
      </c>
      <c r="E134" s="6" t="s">
        <v>13</v>
      </c>
      <c r="F134" s="10">
        <v>6</v>
      </c>
      <c r="G134" s="10">
        <v>2100</v>
      </c>
      <c r="H134" s="10">
        <f t="shared" si="2"/>
        <v>12600</v>
      </c>
    </row>
    <row r="135" spans="1:8" x14ac:dyDescent="0.25">
      <c r="A135" s="4">
        <v>134</v>
      </c>
      <c r="B135" s="5">
        <v>44330</v>
      </c>
      <c r="C135" s="6" t="s">
        <v>20</v>
      </c>
      <c r="D135" s="6" t="s">
        <v>9</v>
      </c>
      <c r="E135" s="6" t="s">
        <v>15</v>
      </c>
      <c r="F135" s="10">
        <v>5</v>
      </c>
      <c r="G135" s="10">
        <v>1200</v>
      </c>
      <c r="H135" s="10">
        <f t="shared" si="2"/>
        <v>6000</v>
      </c>
    </row>
    <row r="136" spans="1:8" x14ac:dyDescent="0.25">
      <c r="A136" s="4">
        <v>135</v>
      </c>
      <c r="B136" s="5">
        <v>44331</v>
      </c>
      <c r="C136" s="6" t="s">
        <v>8</v>
      </c>
      <c r="D136" s="6" t="s">
        <v>9</v>
      </c>
      <c r="E136" s="6" t="s">
        <v>17</v>
      </c>
      <c r="F136" s="10">
        <v>4</v>
      </c>
      <c r="G136" s="10">
        <v>1500</v>
      </c>
      <c r="H136" s="10">
        <f t="shared" si="2"/>
        <v>6000</v>
      </c>
    </row>
    <row r="137" spans="1:8" x14ac:dyDescent="0.25">
      <c r="A137" s="4">
        <v>136</v>
      </c>
      <c r="B137" s="5">
        <v>44332</v>
      </c>
      <c r="C137" s="6" t="s">
        <v>8</v>
      </c>
      <c r="D137" s="6" t="s">
        <v>12</v>
      </c>
      <c r="E137" s="6" t="s">
        <v>19</v>
      </c>
      <c r="F137" s="10">
        <v>3</v>
      </c>
      <c r="G137" s="10">
        <v>300</v>
      </c>
      <c r="H137" s="10">
        <f t="shared" si="2"/>
        <v>900</v>
      </c>
    </row>
    <row r="138" spans="1:8" x14ac:dyDescent="0.25">
      <c r="A138" s="4">
        <v>137</v>
      </c>
      <c r="B138" s="5">
        <v>44333</v>
      </c>
      <c r="C138" s="6" t="s">
        <v>8</v>
      </c>
      <c r="D138" s="6" t="s">
        <v>22</v>
      </c>
      <c r="E138" s="6" t="s">
        <v>21</v>
      </c>
      <c r="F138" s="10">
        <v>2</v>
      </c>
      <c r="G138" s="10">
        <v>190</v>
      </c>
      <c r="H138" s="10">
        <f t="shared" si="2"/>
        <v>380</v>
      </c>
    </row>
    <row r="139" spans="1:8" x14ac:dyDescent="0.25">
      <c r="A139" s="4">
        <v>138</v>
      </c>
      <c r="B139" s="5">
        <v>44334</v>
      </c>
      <c r="C139" s="6" t="s">
        <v>8</v>
      </c>
      <c r="D139" s="6" t="s">
        <v>23</v>
      </c>
      <c r="E139" s="6" t="s">
        <v>10</v>
      </c>
      <c r="F139" s="10">
        <v>2</v>
      </c>
      <c r="G139" s="10">
        <v>210</v>
      </c>
      <c r="H139" s="10">
        <f t="shared" si="2"/>
        <v>420</v>
      </c>
    </row>
    <row r="140" spans="1:8" x14ac:dyDescent="0.25">
      <c r="A140" s="4">
        <v>139</v>
      </c>
      <c r="B140" s="5">
        <v>44335</v>
      </c>
      <c r="C140" s="6" t="s">
        <v>8</v>
      </c>
      <c r="D140" s="6" t="s">
        <v>9</v>
      </c>
      <c r="E140" s="6" t="s">
        <v>13</v>
      </c>
      <c r="F140" s="10">
        <v>7</v>
      </c>
      <c r="G140" s="10">
        <v>2100</v>
      </c>
      <c r="H140" s="10">
        <f t="shared" si="2"/>
        <v>14700</v>
      </c>
    </row>
    <row r="141" spans="1:8" x14ac:dyDescent="0.25">
      <c r="A141" s="4">
        <v>140</v>
      </c>
      <c r="B141" s="5">
        <v>44336</v>
      </c>
      <c r="C141" s="6" t="s">
        <v>8</v>
      </c>
      <c r="D141" s="6" t="s">
        <v>12</v>
      </c>
      <c r="E141" s="6" t="s">
        <v>15</v>
      </c>
      <c r="F141" s="10">
        <v>6</v>
      </c>
      <c r="G141" s="10">
        <v>1200</v>
      </c>
      <c r="H141" s="10">
        <f t="shared" si="2"/>
        <v>7200</v>
      </c>
    </row>
    <row r="142" spans="1:8" x14ac:dyDescent="0.25">
      <c r="A142" s="4">
        <v>141</v>
      </c>
      <c r="B142" s="5">
        <v>44337</v>
      </c>
      <c r="C142" s="6" t="s">
        <v>8</v>
      </c>
      <c r="D142" s="6" t="s">
        <v>22</v>
      </c>
      <c r="E142" s="6" t="s">
        <v>17</v>
      </c>
      <c r="F142" s="10">
        <v>5</v>
      </c>
      <c r="G142" s="10">
        <v>1500</v>
      </c>
      <c r="H142" s="10">
        <f t="shared" si="2"/>
        <v>7500</v>
      </c>
    </row>
    <row r="143" spans="1:8" x14ac:dyDescent="0.25">
      <c r="A143" s="4">
        <v>142</v>
      </c>
      <c r="B143" s="5">
        <v>44338</v>
      </c>
      <c r="C143" s="6" t="s">
        <v>8</v>
      </c>
      <c r="D143" s="6" t="s">
        <v>23</v>
      </c>
      <c r="E143" s="6" t="s">
        <v>19</v>
      </c>
      <c r="F143" s="10">
        <v>4</v>
      </c>
      <c r="G143" s="10">
        <v>300</v>
      </c>
      <c r="H143" s="10">
        <f t="shared" si="2"/>
        <v>1200</v>
      </c>
    </row>
    <row r="144" spans="1:8" x14ac:dyDescent="0.25">
      <c r="A144" s="4">
        <v>143</v>
      </c>
      <c r="B144" s="5">
        <v>44339</v>
      </c>
      <c r="C144" s="6" t="s">
        <v>11</v>
      </c>
      <c r="D144" s="6" t="s">
        <v>12</v>
      </c>
      <c r="E144" s="6" t="s">
        <v>21</v>
      </c>
      <c r="F144" s="10">
        <v>3</v>
      </c>
      <c r="G144" s="10">
        <v>190</v>
      </c>
      <c r="H144" s="10">
        <f t="shared" si="2"/>
        <v>570</v>
      </c>
    </row>
    <row r="145" spans="1:8" x14ac:dyDescent="0.25">
      <c r="A145" s="4">
        <v>144</v>
      </c>
      <c r="B145" s="5">
        <v>44340</v>
      </c>
      <c r="C145" s="6" t="s">
        <v>11</v>
      </c>
      <c r="D145" s="6" t="s">
        <v>9</v>
      </c>
      <c r="E145" s="6" t="s">
        <v>19</v>
      </c>
      <c r="F145" s="10">
        <v>4</v>
      </c>
      <c r="G145" s="10">
        <v>300</v>
      </c>
      <c r="H145" s="10">
        <f t="shared" si="2"/>
        <v>1200</v>
      </c>
    </row>
    <row r="146" spans="1:8" x14ac:dyDescent="0.25">
      <c r="A146" s="4">
        <v>145</v>
      </c>
      <c r="B146" s="5">
        <v>44341</v>
      </c>
      <c r="C146" s="6" t="s">
        <v>11</v>
      </c>
      <c r="D146" s="6" t="s">
        <v>22</v>
      </c>
      <c r="E146" s="6" t="s">
        <v>19</v>
      </c>
      <c r="F146" s="10">
        <v>4</v>
      </c>
      <c r="G146" s="10">
        <v>300</v>
      </c>
      <c r="H146" s="10">
        <f t="shared" si="2"/>
        <v>1200</v>
      </c>
    </row>
    <row r="147" spans="1:8" x14ac:dyDescent="0.25">
      <c r="A147" s="4">
        <v>146</v>
      </c>
      <c r="B147" s="5">
        <v>44342</v>
      </c>
      <c r="C147" s="6" t="s">
        <v>11</v>
      </c>
      <c r="D147" s="6" t="s">
        <v>23</v>
      </c>
      <c r="E147" s="6" t="s">
        <v>19</v>
      </c>
      <c r="F147" s="10">
        <v>4</v>
      </c>
      <c r="G147" s="10">
        <v>300</v>
      </c>
      <c r="H147" s="10">
        <f t="shared" si="2"/>
        <v>1200</v>
      </c>
    </row>
    <row r="148" spans="1:8" x14ac:dyDescent="0.25">
      <c r="A148" s="4">
        <v>147</v>
      </c>
      <c r="B148" s="5">
        <v>44343</v>
      </c>
      <c r="C148" s="6" t="s">
        <v>11</v>
      </c>
      <c r="D148" s="6" t="s">
        <v>12</v>
      </c>
      <c r="E148" s="6" t="s">
        <v>19</v>
      </c>
      <c r="F148" s="10">
        <v>4</v>
      </c>
      <c r="G148" s="10">
        <v>300</v>
      </c>
      <c r="H148" s="10">
        <f t="shared" si="2"/>
        <v>1200</v>
      </c>
    </row>
    <row r="149" spans="1:8" x14ac:dyDescent="0.25">
      <c r="A149" s="4">
        <v>148</v>
      </c>
      <c r="B149" s="5">
        <v>44344</v>
      </c>
      <c r="C149" s="6" t="s">
        <v>11</v>
      </c>
      <c r="D149" s="6" t="s">
        <v>9</v>
      </c>
      <c r="E149" s="6" t="s">
        <v>19</v>
      </c>
      <c r="F149" s="10">
        <v>4</v>
      </c>
      <c r="G149" s="10">
        <v>300</v>
      </c>
      <c r="H149" s="10">
        <f t="shared" si="2"/>
        <v>1200</v>
      </c>
    </row>
    <row r="150" spans="1:8" x14ac:dyDescent="0.25">
      <c r="A150" s="4">
        <v>149</v>
      </c>
      <c r="B150" s="5">
        <v>44345</v>
      </c>
      <c r="C150" s="6" t="s">
        <v>11</v>
      </c>
      <c r="D150" s="6" t="s">
        <v>22</v>
      </c>
      <c r="E150" s="6" t="s">
        <v>19</v>
      </c>
      <c r="F150" s="10">
        <v>4</v>
      </c>
      <c r="G150" s="10">
        <v>300</v>
      </c>
      <c r="H150" s="10">
        <f t="shared" si="2"/>
        <v>1200</v>
      </c>
    </row>
    <row r="151" spans="1:8" x14ac:dyDescent="0.25">
      <c r="A151" s="4">
        <v>150</v>
      </c>
      <c r="B151" s="5">
        <v>44346</v>
      </c>
      <c r="C151" s="6" t="s">
        <v>11</v>
      </c>
      <c r="D151" s="6" t="s">
        <v>23</v>
      </c>
      <c r="E151" s="6" t="s">
        <v>19</v>
      </c>
      <c r="F151" s="10">
        <v>4</v>
      </c>
      <c r="G151" s="10">
        <v>300</v>
      </c>
      <c r="H151" s="10">
        <f t="shared" si="2"/>
        <v>1200</v>
      </c>
    </row>
    <row r="152" spans="1:8" x14ac:dyDescent="0.25">
      <c r="A152" s="4">
        <v>151</v>
      </c>
      <c r="B152" s="5">
        <v>44347</v>
      </c>
      <c r="C152" s="6" t="s">
        <v>14</v>
      </c>
      <c r="D152" s="6" t="s">
        <v>23</v>
      </c>
      <c r="E152" s="6" t="s">
        <v>19</v>
      </c>
      <c r="F152" s="10">
        <v>4</v>
      </c>
      <c r="G152" s="10">
        <v>300</v>
      </c>
      <c r="H152" s="10">
        <f t="shared" si="2"/>
        <v>1200</v>
      </c>
    </row>
    <row r="153" spans="1:8" x14ac:dyDescent="0.25">
      <c r="A153" s="4">
        <v>152</v>
      </c>
      <c r="B153" s="5">
        <v>44348</v>
      </c>
      <c r="C153" s="6" t="s">
        <v>16</v>
      </c>
      <c r="D153" s="6" t="s">
        <v>23</v>
      </c>
      <c r="E153" s="6" t="s">
        <v>13</v>
      </c>
      <c r="F153" s="10">
        <v>6</v>
      </c>
      <c r="G153" s="10">
        <v>2100</v>
      </c>
      <c r="H153" s="10">
        <f t="shared" si="2"/>
        <v>12600</v>
      </c>
    </row>
    <row r="154" spans="1:8" x14ac:dyDescent="0.25">
      <c r="A154" s="4">
        <v>153</v>
      </c>
      <c r="B154" s="5">
        <v>44349</v>
      </c>
      <c r="C154" s="6" t="s">
        <v>18</v>
      </c>
      <c r="D154" s="6" t="s">
        <v>23</v>
      </c>
      <c r="E154" s="6" t="s">
        <v>15</v>
      </c>
      <c r="F154" s="10">
        <v>5</v>
      </c>
      <c r="G154" s="10">
        <v>1200</v>
      </c>
      <c r="H154" s="10">
        <f t="shared" si="2"/>
        <v>6000</v>
      </c>
    </row>
    <row r="155" spans="1:8" x14ac:dyDescent="0.25">
      <c r="A155" s="4">
        <v>154</v>
      </c>
      <c r="B155" s="5">
        <v>44350</v>
      </c>
      <c r="C155" s="6" t="s">
        <v>20</v>
      </c>
      <c r="D155" s="6" t="s">
        <v>23</v>
      </c>
      <c r="E155" s="6" t="s">
        <v>17</v>
      </c>
      <c r="F155" s="10">
        <v>4</v>
      </c>
      <c r="G155" s="10">
        <v>1500</v>
      </c>
      <c r="H155" s="10">
        <f t="shared" si="2"/>
        <v>6000</v>
      </c>
    </row>
    <row r="156" spans="1:8" x14ac:dyDescent="0.25">
      <c r="A156" s="4">
        <v>155</v>
      </c>
      <c r="B156" s="5">
        <v>44351</v>
      </c>
      <c r="C156" s="6" t="s">
        <v>20</v>
      </c>
      <c r="D156" s="6" t="s">
        <v>9</v>
      </c>
      <c r="E156" s="6" t="s">
        <v>19</v>
      </c>
      <c r="F156" s="10">
        <v>3</v>
      </c>
      <c r="G156" s="10">
        <v>300</v>
      </c>
      <c r="H156" s="10">
        <f t="shared" si="2"/>
        <v>900</v>
      </c>
    </row>
    <row r="157" spans="1:8" x14ac:dyDescent="0.25">
      <c r="A157" s="4">
        <v>156</v>
      </c>
      <c r="B157" s="5">
        <v>44352</v>
      </c>
      <c r="C157" s="6" t="s">
        <v>20</v>
      </c>
      <c r="D157" s="6" t="s">
        <v>12</v>
      </c>
      <c r="E157" s="6" t="s">
        <v>21</v>
      </c>
      <c r="F157" s="10">
        <v>2</v>
      </c>
      <c r="G157" s="10">
        <v>190</v>
      </c>
      <c r="H157" s="10">
        <f t="shared" si="2"/>
        <v>380</v>
      </c>
    </row>
    <row r="158" spans="1:8" x14ac:dyDescent="0.25">
      <c r="A158" s="4">
        <v>157</v>
      </c>
      <c r="B158" s="5">
        <v>44353</v>
      </c>
      <c r="C158" s="6" t="s">
        <v>20</v>
      </c>
      <c r="D158" s="6" t="s">
        <v>22</v>
      </c>
      <c r="E158" s="6" t="s">
        <v>10</v>
      </c>
      <c r="F158" s="10">
        <v>7</v>
      </c>
      <c r="G158" s="10">
        <v>210</v>
      </c>
      <c r="H158" s="10">
        <f t="shared" si="2"/>
        <v>1470</v>
      </c>
    </row>
    <row r="159" spans="1:8" x14ac:dyDescent="0.25">
      <c r="A159" s="4">
        <v>158</v>
      </c>
      <c r="B159" s="5">
        <v>44354</v>
      </c>
      <c r="C159" s="6" t="s">
        <v>20</v>
      </c>
      <c r="D159" s="6" t="s">
        <v>23</v>
      </c>
      <c r="E159" s="6" t="s">
        <v>13</v>
      </c>
      <c r="F159" s="10">
        <v>6</v>
      </c>
      <c r="G159" s="10">
        <v>2100</v>
      </c>
      <c r="H159" s="10">
        <f t="shared" si="2"/>
        <v>12600</v>
      </c>
    </row>
    <row r="160" spans="1:8" x14ac:dyDescent="0.25">
      <c r="A160" s="4">
        <v>159</v>
      </c>
      <c r="B160" s="5">
        <v>44355</v>
      </c>
      <c r="C160" s="6" t="s">
        <v>20</v>
      </c>
      <c r="D160" s="6" t="s">
        <v>9</v>
      </c>
      <c r="E160" s="6" t="s">
        <v>15</v>
      </c>
      <c r="F160" s="10">
        <v>5</v>
      </c>
      <c r="G160" s="10">
        <v>1200</v>
      </c>
      <c r="H160" s="10">
        <f t="shared" si="2"/>
        <v>6000</v>
      </c>
    </row>
    <row r="161" spans="1:8" x14ac:dyDescent="0.25">
      <c r="A161" s="4">
        <v>160</v>
      </c>
      <c r="B161" s="5">
        <v>44356</v>
      </c>
      <c r="C161" s="6" t="s">
        <v>20</v>
      </c>
      <c r="D161" s="6" t="s">
        <v>12</v>
      </c>
      <c r="E161" s="6" t="s">
        <v>17</v>
      </c>
      <c r="F161" s="10">
        <v>4</v>
      </c>
      <c r="G161" s="10">
        <v>1500</v>
      </c>
      <c r="H161" s="10">
        <f t="shared" si="2"/>
        <v>6000</v>
      </c>
    </row>
    <row r="162" spans="1:8" x14ac:dyDescent="0.25">
      <c r="A162" s="4">
        <v>161</v>
      </c>
      <c r="B162" s="5">
        <v>44357</v>
      </c>
      <c r="C162" s="6" t="s">
        <v>20</v>
      </c>
      <c r="D162" s="6" t="s">
        <v>22</v>
      </c>
      <c r="E162" s="6" t="s">
        <v>19</v>
      </c>
      <c r="F162" s="10">
        <v>3</v>
      </c>
      <c r="G162" s="10">
        <v>300</v>
      </c>
      <c r="H162" s="10">
        <f t="shared" si="2"/>
        <v>900</v>
      </c>
    </row>
    <row r="163" spans="1:8" x14ac:dyDescent="0.25">
      <c r="A163" s="4">
        <v>162</v>
      </c>
      <c r="B163" s="5">
        <v>44358</v>
      </c>
      <c r="C163" s="6" t="s">
        <v>20</v>
      </c>
      <c r="D163" s="6" t="s">
        <v>23</v>
      </c>
      <c r="E163" s="6" t="s">
        <v>21</v>
      </c>
      <c r="F163" s="10">
        <v>2</v>
      </c>
      <c r="G163" s="10">
        <v>190</v>
      </c>
      <c r="H163" s="10">
        <f t="shared" si="2"/>
        <v>380</v>
      </c>
    </row>
    <row r="164" spans="1:8" x14ac:dyDescent="0.25">
      <c r="A164" s="4">
        <v>163</v>
      </c>
      <c r="B164" s="5">
        <v>44359</v>
      </c>
      <c r="C164" s="6" t="s">
        <v>8</v>
      </c>
      <c r="D164" s="6" t="s">
        <v>9</v>
      </c>
      <c r="E164" s="6" t="s">
        <v>10</v>
      </c>
      <c r="F164" s="10">
        <v>2</v>
      </c>
      <c r="G164" s="10">
        <v>210</v>
      </c>
      <c r="H164" s="10">
        <f t="shared" si="2"/>
        <v>420</v>
      </c>
    </row>
    <row r="165" spans="1:8" x14ac:dyDescent="0.25">
      <c r="A165" s="4">
        <v>164</v>
      </c>
      <c r="B165" s="5">
        <v>44360</v>
      </c>
      <c r="C165" s="6" t="s">
        <v>11</v>
      </c>
      <c r="D165" s="6" t="s">
        <v>12</v>
      </c>
      <c r="E165" s="6" t="s">
        <v>13</v>
      </c>
      <c r="F165" s="10">
        <v>7</v>
      </c>
      <c r="G165" s="10">
        <v>2100</v>
      </c>
      <c r="H165" s="10">
        <f t="shared" si="2"/>
        <v>14700</v>
      </c>
    </row>
    <row r="166" spans="1:8" x14ac:dyDescent="0.25">
      <c r="A166" s="4">
        <v>165</v>
      </c>
      <c r="B166" s="5">
        <v>44361</v>
      </c>
      <c r="C166" s="6" t="s">
        <v>14</v>
      </c>
      <c r="D166" s="6" t="s">
        <v>9</v>
      </c>
      <c r="E166" s="6" t="s">
        <v>15</v>
      </c>
      <c r="F166" s="10">
        <v>6</v>
      </c>
      <c r="G166" s="10">
        <v>1200</v>
      </c>
      <c r="H166" s="10">
        <f t="shared" si="2"/>
        <v>7200</v>
      </c>
    </row>
    <row r="167" spans="1:8" x14ac:dyDescent="0.25">
      <c r="A167" s="4">
        <v>166</v>
      </c>
      <c r="B167" s="5">
        <v>44362</v>
      </c>
      <c r="C167" s="6" t="s">
        <v>16</v>
      </c>
      <c r="D167" s="6" t="s">
        <v>12</v>
      </c>
      <c r="E167" s="6" t="s">
        <v>17</v>
      </c>
      <c r="F167" s="10">
        <v>5</v>
      </c>
      <c r="G167" s="10">
        <v>1500</v>
      </c>
      <c r="H167" s="10">
        <f t="shared" ref="H167:H230" si="3">F167*G167</f>
        <v>7500</v>
      </c>
    </row>
    <row r="168" spans="1:8" x14ac:dyDescent="0.25">
      <c r="A168" s="4">
        <v>167</v>
      </c>
      <c r="B168" s="5">
        <v>44363</v>
      </c>
      <c r="C168" s="6" t="s">
        <v>18</v>
      </c>
      <c r="D168" s="6" t="s">
        <v>9</v>
      </c>
      <c r="E168" s="6" t="s">
        <v>19</v>
      </c>
      <c r="F168" s="10">
        <v>4</v>
      </c>
      <c r="G168" s="10">
        <v>300</v>
      </c>
      <c r="H168" s="10">
        <f t="shared" si="3"/>
        <v>1200</v>
      </c>
    </row>
    <row r="169" spans="1:8" x14ac:dyDescent="0.25">
      <c r="A169" s="4">
        <v>168</v>
      </c>
      <c r="B169" s="5">
        <v>44364</v>
      </c>
      <c r="C169" s="6" t="s">
        <v>20</v>
      </c>
      <c r="D169" s="6" t="s">
        <v>9</v>
      </c>
      <c r="E169" s="6" t="s">
        <v>21</v>
      </c>
      <c r="F169" s="10">
        <v>3</v>
      </c>
      <c r="G169" s="10">
        <v>190</v>
      </c>
      <c r="H169" s="10">
        <f t="shared" si="3"/>
        <v>570</v>
      </c>
    </row>
    <row r="170" spans="1:8" x14ac:dyDescent="0.25">
      <c r="A170" s="4">
        <v>169</v>
      </c>
      <c r="B170" s="5">
        <v>44365</v>
      </c>
      <c r="C170" s="6" t="s">
        <v>8</v>
      </c>
      <c r="D170" s="6" t="s">
        <v>9</v>
      </c>
      <c r="E170" s="6" t="s">
        <v>10</v>
      </c>
      <c r="F170" s="10">
        <v>2</v>
      </c>
      <c r="G170" s="10">
        <v>210</v>
      </c>
      <c r="H170" s="10">
        <f t="shared" si="3"/>
        <v>420</v>
      </c>
    </row>
    <row r="171" spans="1:8" x14ac:dyDescent="0.25">
      <c r="A171" s="4">
        <v>170</v>
      </c>
      <c r="B171" s="5">
        <v>44366</v>
      </c>
      <c r="C171" s="6" t="s">
        <v>11</v>
      </c>
      <c r="D171" s="6" t="s">
        <v>12</v>
      </c>
      <c r="E171" s="6" t="s">
        <v>15</v>
      </c>
      <c r="F171" s="10">
        <v>7</v>
      </c>
      <c r="G171" s="10">
        <v>2100</v>
      </c>
      <c r="H171" s="10">
        <f t="shared" si="3"/>
        <v>14700</v>
      </c>
    </row>
    <row r="172" spans="1:8" x14ac:dyDescent="0.25">
      <c r="A172" s="4">
        <v>171</v>
      </c>
      <c r="B172" s="5">
        <v>44367</v>
      </c>
      <c r="C172" s="6" t="s">
        <v>14</v>
      </c>
      <c r="D172" s="6" t="s">
        <v>12</v>
      </c>
      <c r="E172" s="6" t="s">
        <v>17</v>
      </c>
      <c r="F172" s="10">
        <v>6</v>
      </c>
      <c r="G172" s="10">
        <v>1200</v>
      </c>
      <c r="H172" s="10">
        <f t="shared" si="3"/>
        <v>7200</v>
      </c>
    </row>
    <row r="173" spans="1:8" x14ac:dyDescent="0.25">
      <c r="A173" s="4">
        <v>172</v>
      </c>
      <c r="B173" s="5">
        <v>44368</v>
      </c>
      <c r="C173" s="6" t="s">
        <v>16</v>
      </c>
      <c r="D173" s="6" t="s">
        <v>9</v>
      </c>
      <c r="E173" s="6" t="s">
        <v>19</v>
      </c>
      <c r="F173" s="10">
        <v>5</v>
      </c>
      <c r="G173" s="10">
        <v>300</v>
      </c>
      <c r="H173" s="10">
        <f t="shared" si="3"/>
        <v>1500</v>
      </c>
    </row>
    <row r="174" spans="1:8" x14ac:dyDescent="0.25">
      <c r="A174" s="4">
        <v>173</v>
      </c>
      <c r="B174" s="5">
        <v>44369</v>
      </c>
      <c r="C174" s="6" t="s">
        <v>18</v>
      </c>
      <c r="D174" s="6" t="s">
        <v>9</v>
      </c>
      <c r="E174" s="6" t="s">
        <v>21</v>
      </c>
      <c r="F174" s="10">
        <v>4</v>
      </c>
      <c r="G174" s="10">
        <v>200</v>
      </c>
      <c r="H174" s="10">
        <f t="shared" si="3"/>
        <v>800</v>
      </c>
    </row>
    <row r="175" spans="1:8" x14ac:dyDescent="0.25">
      <c r="A175" s="4">
        <v>174</v>
      </c>
      <c r="B175" s="5">
        <v>44370</v>
      </c>
      <c r="C175" s="6" t="s">
        <v>20</v>
      </c>
      <c r="D175" s="6" t="s">
        <v>12</v>
      </c>
      <c r="E175" s="6" t="s">
        <v>10</v>
      </c>
      <c r="F175" s="10">
        <v>3</v>
      </c>
      <c r="G175" s="10">
        <v>190</v>
      </c>
      <c r="H175" s="10">
        <f t="shared" si="3"/>
        <v>570</v>
      </c>
    </row>
    <row r="176" spans="1:8" x14ac:dyDescent="0.25">
      <c r="A176" s="4">
        <v>175</v>
      </c>
      <c r="B176" s="5">
        <v>44371</v>
      </c>
      <c r="C176" s="6" t="s">
        <v>20</v>
      </c>
      <c r="D176" s="6" t="s">
        <v>9</v>
      </c>
      <c r="E176" s="6" t="s">
        <v>13</v>
      </c>
      <c r="F176" s="10">
        <v>2</v>
      </c>
      <c r="G176" s="10">
        <v>2100</v>
      </c>
      <c r="H176" s="10">
        <f t="shared" si="3"/>
        <v>4200</v>
      </c>
    </row>
    <row r="177" spans="1:8" x14ac:dyDescent="0.25">
      <c r="A177" s="4">
        <v>176</v>
      </c>
      <c r="B177" s="5">
        <v>44372</v>
      </c>
      <c r="C177" s="6" t="s">
        <v>8</v>
      </c>
      <c r="D177" s="6" t="s">
        <v>9</v>
      </c>
      <c r="E177" s="6" t="s">
        <v>10</v>
      </c>
      <c r="F177" s="10">
        <v>7</v>
      </c>
      <c r="G177" s="10">
        <v>210</v>
      </c>
      <c r="H177" s="10">
        <f t="shared" si="3"/>
        <v>1470</v>
      </c>
    </row>
    <row r="178" spans="1:8" x14ac:dyDescent="0.25">
      <c r="A178" s="4">
        <v>177</v>
      </c>
      <c r="B178" s="5">
        <v>44373</v>
      </c>
      <c r="C178" s="6" t="s">
        <v>11</v>
      </c>
      <c r="D178" s="6" t="s">
        <v>9</v>
      </c>
      <c r="E178" s="6" t="s">
        <v>10</v>
      </c>
      <c r="F178" s="10">
        <v>3</v>
      </c>
      <c r="G178" s="10">
        <v>190</v>
      </c>
      <c r="H178" s="10">
        <f t="shared" si="3"/>
        <v>570</v>
      </c>
    </row>
    <row r="179" spans="1:8" x14ac:dyDescent="0.25">
      <c r="A179" s="4">
        <v>178</v>
      </c>
      <c r="B179" s="5">
        <v>44374</v>
      </c>
      <c r="C179" s="6" t="s">
        <v>14</v>
      </c>
      <c r="D179" s="6" t="s">
        <v>9</v>
      </c>
      <c r="E179" s="6" t="s">
        <v>10</v>
      </c>
      <c r="F179" s="10">
        <v>3</v>
      </c>
      <c r="G179" s="10">
        <v>190</v>
      </c>
      <c r="H179" s="10">
        <f t="shared" si="3"/>
        <v>570</v>
      </c>
    </row>
    <row r="180" spans="1:8" x14ac:dyDescent="0.25">
      <c r="A180" s="4">
        <v>179</v>
      </c>
      <c r="B180" s="5">
        <v>44375</v>
      </c>
      <c r="C180" s="6" t="s">
        <v>16</v>
      </c>
      <c r="D180" s="6" t="s">
        <v>9</v>
      </c>
      <c r="E180" s="6" t="s">
        <v>10</v>
      </c>
      <c r="F180" s="10">
        <v>3</v>
      </c>
      <c r="G180" s="10">
        <v>190</v>
      </c>
      <c r="H180" s="10">
        <f t="shared" si="3"/>
        <v>570</v>
      </c>
    </row>
    <row r="181" spans="1:8" x14ac:dyDescent="0.25">
      <c r="A181" s="4">
        <v>180</v>
      </c>
      <c r="B181" s="5">
        <v>44376</v>
      </c>
      <c r="C181" s="6" t="s">
        <v>18</v>
      </c>
      <c r="D181" s="6" t="s">
        <v>9</v>
      </c>
      <c r="E181" s="6" t="s">
        <v>10</v>
      </c>
      <c r="F181" s="10">
        <v>3</v>
      </c>
      <c r="G181" s="10">
        <v>190</v>
      </c>
      <c r="H181" s="10">
        <f t="shared" si="3"/>
        <v>570</v>
      </c>
    </row>
    <row r="182" spans="1:8" x14ac:dyDescent="0.25">
      <c r="A182" s="4">
        <v>181</v>
      </c>
      <c r="B182" s="5">
        <v>44377</v>
      </c>
      <c r="C182" s="6" t="s">
        <v>20</v>
      </c>
      <c r="D182" s="6" t="s">
        <v>9</v>
      </c>
      <c r="E182" s="6" t="s">
        <v>10</v>
      </c>
      <c r="F182" s="10">
        <v>3</v>
      </c>
      <c r="G182" s="10">
        <v>190</v>
      </c>
      <c r="H182" s="10">
        <f t="shared" si="3"/>
        <v>570</v>
      </c>
    </row>
    <row r="183" spans="1:8" x14ac:dyDescent="0.25">
      <c r="A183" s="4">
        <v>182</v>
      </c>
      <c r="B183" s="5">
        <v>44378</v>
      </c>
      <c r="C183" s="6" t="s">
        <v>8</v>
      </c>
      <c r="D183" s="6" t="s">
        <v>9</v>
      </c>
      <c r="E183" s="6" t="s">
        <v>10</v>
      </c>
      <c r="F183" s="10">
        <v>3</v>
      </c>
      <c r="G183" s="10">
        <v>190</v>
      </c>
      <c r="H183" s="10">
        <f t="shared" si="3"/>
        <v>570</v>
      </c>
    </row>
    <row r="184" spans="1:8" x14ac:dyDescent="0.25">
      <c r="A184" s="4">
        <v>183</v>
      </c>
      <c r="B184" s="5">
        <v>44379</v>
      </c>
      <c r="C184" s="6" t="s">
        <v>11</v>
      </c>
      <c r="D184" s="6" t="s">
        <v>12</v>
      </c>
      <c r="E184" s="6" t="s">
        <v>10</v>
      </c>
      <c r="F184" s="10">
        <v>3</v>
      </c>
      <c r="G184" s="10">
        <v>190</v>
      </c>
      <c r="H184" s="10">
        <f t="shared" si="3"/>
        <v>570</v>
      </c>
    </row>
    <row r="185" spans="1:8" x14ac:dyDescent="0.25">
      <c r="A185" s="4">
        <v>184</v>
      </c>
      <c r="B185" s="5">
        <v>44380</v>
      </c>
      <c r="C185" s="6" t="s">
        <v>14</v>
      </c>
      <c r="D185" s="6" t="s">
        <v>9</v>
      </c>
      <c r="E185" s="6" t="s">
        <v>15</v>
      </c>
      <c r="F185" s="10">
        <v>5</v>
      </c>
      <c r="G185" s="10">
        <v>1200</v>
      </c>
      <c r="H185" s="10">
        <f t="shared" si="3"/>
        <v>6000</v>
      </c>
    </row>
    <row r="186" spans="1:8" x14ac:dyDescent="0.25">
      <c r="A186" s="4">
        <v>185</v>
      </c>
      <c r="B186" s="5">
        <v>44381</v>
      </c>
      <c r="C186" s="6" t="s">
        <v>16</v>
      </c>
      <c r="D186" s="6" t="s">
        <v>12</v>
      </c>
      <c r="E186" s="6" t="s">
        <v>17</v>
      </c>
      <c r="F186" s="10">
        <v>4</v>
      </c>
      <c r="G186" s="10">
        <v>1500</v>
      </c>
      <c r="H186" s="10">
        <f t="shared" si="3"/>
        <v>6000</v>
      </c>
    </row>
    <row r="187" spans="1:8" x14ac:dyDescent="0.25">
      <c r="A187" s="4">
        <v>186</v>
      </c>
      <c r="B187" s="5">
        <v>44382</v>
      </c>
      <c r="C187" s="6" t="s">
        <v>18</v>
      </c>
      <c r="D187" s="6" t="s">
        <v>9</v>
      </c>
      <c r="E187" s="6" t="s">
        <v>19</v>
      </c>
      <c r="F187" s="10">
        <v>3</v>
      </c>
      <c r="G187" s="10">
        <v>300</v>
      </c>
      <c r="H187" s="10">
        <f t="shared" si="3"/>
        <v>900</v>
      </c>
    </row>
    <row r="188" spans="1:8" x14ac:dyDescent="0.25">
      <c r="A188" s="4">
        <v>187</v>
      </c>
      <c r="B188" s="5">
        <v>44383</v>
      </c>
      <c r="C188" s="6" t="s">
        <v>20</v>
      </c>
      <c r="D188" s="6" t="s">
        <v>9</v>
      </c>
      <c r="E188" s="6" t="s">
        <v>21</v>
      </c>
      <c r="F188" s="10">
        <v>2</v>
      </c>
      <c r="G188" s="10">
        <v>190</v>
      </c>
      <c r="H188" s="10">
        <f t="shared" si="3"/>
        <v>380</v>
      </c>
    </row>
    <row r="189" spans="1:8" x14ac:dyDescent="0.25">
      <c r="A189" s="4">
        <v>188</v>
      </c>
      <c r="B189" s="5">
        <v>44384</v>
      </c>
      <c r="C189" s="6" t="s">
        <v>20</v>
      </c>
      <c r="D189" s="6" t="s">
        <v>9</v>
      </c>
      <c r="E189" s="6" t="s">
        <v>10</v>
      </c>
      <c r="F189" s="10">
        <v>2</v>
      </c>
      <c r="G189" s="10">
        <v>210</v>
      </c>
      <c r="H189" s="10">
        <f t="shared" si="3"/>
        <v>420</v>
      </c>
    </row>
    <row r="190" spans="1:8" x14ac:dyDescent="0.25">
      <c r="A190" s="4">
        <v>189</v>
      </c>
      <c r="B190" s="5">
        <v>44385</v>
      </c>
      <c r="C190" s="6" t="s">
        <v>8</v>
      </c>
      <c r="D190" s="6" t="s">
        <v>9</v>
      </c>
      <c r="E190" s="6" t="s">
        <v>13</v>
      </c>
      <c r="F190" s="10">
        <v>7</v>
      </c>
      <c r="G190" s="10">
        <v>2100</v>
      </c>
      <c r="H190" s="10">
        <f t="shared" si="3"/>
        <v>14700</v>
      </c>
    </row>
    <row r="191" spans="1:8" x14ac:dyDescent="0.25">
      <c r="A191" s="4">
        <v>190</v>
      </c>
      <c r="B191" s="5">
        <v>44386</v>
      </c>
      <c r="C191" s="6" t="s">
        <v>8</v>
      </c>
      <c r="D191" s="6" t="s">
        <v>12</v>
      </c>
      <c r="E191" s="6" t="s">
        <v>15</v>
      </c>
      <c r="F191" s="10">
        <v>6</v>
      </c>
      <c r="G191" s="10">
        <v>1200</v>
      </c>
      <c r="H191" s="10">
        <f t="shared" si="3"/>
        <v>7200</v>
      </c>
    </row>
    <row r="192" spans="1:8" x14ac:dyDescent="0.25">
      <c r="A192" s="4">
        <v>191</v>
      </c>
      <c r="B192" s="5">
        <v>44387</v>
      </c>
      <c r="C192" s="6" t="s">
        <v>8</v>
      </c>
      <c r="D192" s="6" t="s">
        <v>22</v>
      </c>
      <c r="E192" s="6" t="s">
        <v>17</v>
      </c>
      <c r="F192" s="10">
        <v>5</v>
      </c>
      <c r="G192" s="10">
        <v>1500</v>
      </c>
      <c r="H192" s="10">
        <f t="shared" si="3"/>
        <v>7500</v>
      </c>
    </row>
    <row r="193" spans="1:8" x14ac:dyDescent="0.25">
      <c r="A193" s="4">
        <v>192</v>
      </c>
      <c r="B193" s="5">
        <v>44388</v>
      </c>
      <c r="C193" s="6" t="s">
        <v>8</v>
      </c>
      <c r="D193" s="6" t="s">
        <v>23</v>
      </c>
      <c r="E193" s="6" t="s">
        <v>19</v>
      </c>
      <c r="F193" s="10">
        <v>4</v>
      </c>
      <c r="G193" s="10">
        <v>300</v>
      </c>
      <c r="H193" s="10">
        <f t="shared" si="3"/>
        <v>1200</v>
      </c>
    </row>
    <row r="194" spans="1:8" x14ac:dyDescent="0.25">
      <c r="A194" s="4">
        <v>193</v>
      </c>
      <c r="B194" s="5">
        <v>44389</v>
      </c>
      <c r="C194" s="6" t="s">
        <v>8</v>
      </c>
      <c r="D194" s="6" t="s">
        <v>9</v>
      </c>
      <c r="E194" s="6" t="s">
        <v>21</v>
      </c>
      <c r="F194" s="10">
        <v>3</v>
      </c>
      <c r="G194" s="10">
        <v>190</v>
      </c>
      <c r="H194" s="10">
        <f t="shared" si="3"/>
        <v>570</v>
      </c>
    </row>
    <row r="195" spans="1:8" x14ac:dyDescent="0.25">
      <c r="A195" s="4">
        <v>194</v>
      </c>
      <c r="B195" s="5">
        <v>44390</v>
      </c>
      <c r="C195" s="6" t="s">
        <v>8</v>
      </c>
      <c r="D195" s="6" t="s">
        <v>12</v>
      </c>
      <c r="E195" s="6" t="s">
        <v>10</v>
      </c>
      <c r="F195" s="10">
        <v>2</v>
      </c>
      <c r="G195" s="10">
        <v>210</v>
      </c>
      <c r="H195" s="10">
        <f t="shared" si="3"/>
        <v>420</v>
      </c>
    </row>
    <row r="196" spans="1:8" x14ac:dyDescent="0.25">
      <c r="A196" s="4">
        <v>195</v>
      </c>
      <c r="B196" s="5">
        <v>44391</v>
      </c>
      <c r="C196" s="6" t="s">
        <v>8</v>
      </c>
      <c r="D196" s="6" t="s">
        <v>22</v>
      </c>
      <c r="E196" s="6" t="s">
        <v>15</v>
      </c>
      <c r="F196" s="10">
        <v>7</v>
      </c>
      <c r="G196" s="10">
        <v>2100</v>
      </c>
      <c r="H196" s="10">
        <f t="shared" si="3"/>
        <v>14700</v>
      </c>
    </row>
    <row r="197" spans="1:8" x14ac:dyDescent="0.25">
      <c r="A197" s="4">
        <v>196</v>
      </c>
      <c r="B197" s="5">
        <v>44392</v>
      </c>
      <c r="C197" s="6" t="s">
        <v>8</v>
      </c>
      <c r="D197" s="6" t="s">
        <v>23</v>
      </c>
      <c r="E197" s="6" t="s">
        <v>17</v>
      </c>
      <c r="F197" s="10">
        <v>6</v>
      </c>
      <c r="G197" s="10">
        <v>1200</v>
      </c>
      <c r="H197" s="10">
        <f t="shared" si="3"/>
        <v>7200</v>
      </c>
    </row>
    <row r="198" spans="1:8" x14ac:dyDescent="0.25">
      <c r="A198" s="4">
        <v>197</v>
      </c>
      <c r="B198" s="5">
        <v>44393</v>
      </c>
      <c r="C198" s="6" t="s">
        <v>11</v>
      </c>
      <c r="D198" s="6" t="s">
        <v>12</v>
      </c>
      <c r="E198" s="6" t="s">
        <v>19</v>
      </c>
      <c r="F198" s="10">
        <v>5</v>
      </c>
      <c r="G198" s="10">
        <v>300</v>
      </c>
      <c r="H198" s="10">
        <f t="shared" si="3"/>
        <v>1500</v>
      </c>
    </row>
    <row r="199" spans="1:8" x14ac:dyDescent="0.25">
      <c r="A199" s="4">
        <v>198</v>
      </c>
      <c r="B199" s="5">
        <v>44394</v>
      </c>
      <c r="C199" s="6" t="s">
        <v>11</v>
      </c>
      <c r="D199" s="6" t="s">
        <v>9</v>
      </c>
      <c r="E199" s="6" t="s">
        <v>21</v>
      </c>
      <c r="F199" s="10">
        <v>4</v>
      </c>
      <c r="G199" s="10">
        <v>200</v>
      </c>
      <c r="H199" s="10">
        <f t="shared" si="3"/>
        <v>800</v>
      </c>
    </row>
    <row r="200" spans="1:8" x14ac:dyDescent="0.25">
      <c r="A200" s="4">
        <v>199</v>
      </c>
      <c r="B200" s="5">
        <v>44395</v>
      </c>
      <c r="C200" s="6" t="s">
        <v>11</v>
      </c>
      <c r="D200" s="6" t="s">
        <v>22</v>
      </c>
      <c r="E200" s="6" t="s">
        <v>10</v>
      </c>
      <c r="F200" s="10">
        <v>3</v>
      </c>
      <c r="G200" s="10">
        <v>190</v>
      </c>
      <c r="H200" s="10">
        <f t="shared" si="3"/>
        <v>570</v>
      </c>
    </row>
    <row r="201" spans="1:8" x14ac:dyDescent="0.25">
      <c r="A201" s="4">
        <v>200</v>
      </c>
      <c r="B201" s="5">
        <v>44396</v>
      </c>
      <c r="C201" s="6" t="s">
        <v>11</v>
      </c>
      <c r="D201" s="6" t="s">
        <v>23</v>
      </c>
      <c r="E201" s="6" t="s">
        <v>13</v>
      </c>
      <c r="F201" s="10">
        <v>2</v>
      </c>
      <c r="G201" s="10">
        <v>2100</v>
      </c>
      <c r="H201" s="10">
        <f t="shared" si="3"/>
        <v>4200</v>
      </c>
    </row>
    <row r="202" spans="1:8" x14ac:dyDescent="0.25">
      <c r="A202" s="4">
        <v>201</v>
      </c>
      <c r="B202" s="5">
        <v>44397</v>
      </c>
      <c r="C202" s="6" t="s">
        <v>11</v>
      </c>
      <c r="D202" s="6" t="s">
        <v>12</v>
      </c>
      <c r="E202" s="6" t="s">
        <v>10</v>
      </c>
      <c r="F202" s="10">
        <v>7</v>
      </c>
      <c r="G202" s="10">
        <v>210</v>
      </c>
      <c r="H202" s="10">
        <f t="shared" si="3"/>
        <v>1470</v>
      </c>
    </row>
    <row r="203" spans="1:8" x14ac:dyDescent="0.25">
      <c r="A203" s="4">
        <v>202</v>
      </c>
      <c r="B203" s="5">
        <v>44398</v>
      </c>
      <c r="C203" s="6" t="s">
        <v>11</v>
      </c>
      <c r="D203" s="6" t="s">
        <v>9</v>
      </c>
      <c r="E203" s="6" t="s">
        <v>13</v>
      </c>
      <c r="F203" s="10">
        <v>6</v>
      </c>
      <c r="G203" s="10">
        <v>2100</v>
      </c>
      <c r="H203" s="10">
        <f t="shared" si="3"/>
        <v>12600</v>
      </c>
    </row>
    <row r="204" spans="1:8" x14ac:dyDescent="0.25">
      <c r="A204" s="4">
        <v>203</v>
      </c>
      <c r="B204" s="5">
        <v>44399</v>
      </c>
      <c r="C204" s="6" t="s">
        <v>11</v>
      </c>
      <c r="D204" s="6" t="s">
        <v>22</v>
      </c>
      <c r="E204" s="6" t="s">
        <v>15</v>
      </c>
      <c r="F204" s="10">
        <v>5</v>
      </c>
      <c r="G204" s="10">
        <v>1200</v>
      </c>
      <c r="H204" s="10">
        <f t="shared" si="3"/>
        <v>6000</v>
      </c>
    </row>
    <row r="205" spans="1:8" x14ac:dyDescent="0.25">
      <c r="A205" s="4">
        <v>204</v>
      </c>
      <c r="B205" s="5">
        <v>44400</v>
      </c>
      <c r="C205" s="6" t="s">
        <v>11</v>
      </c>
      <c r="D205" s="6" t="s">
        <v>23</v>
      </c>
      <c r="E205" s="6" t="s">
        <v>17</v>
      </c>
      <c r="F205" s="10">
        <v>4</v>
      </c>
      <c r="G205" s="10">
        <v>1500</v>
      </c>
      <c r="H205" s="10">
        <f t="shared" si="3"/>
        <v>6000</v>
      </c>
    </row>
    <row r="206" spans="1:8" x14ac:dyDescent="0.25">
      <c r="A206" s="4">
        <v>205</v>
      </c>
      <c r="B206" s="5">
        <v>44401</v>
      </c>
      <c r="C206" s="6" t="s">
        <v>14</v>
      </c>
      <c r="D206" s="6" t="s">
        <v>23</v>
      </c>
      <c r="E206" s="6" t="s">
        <v>19</v>
      </c>
      <c r="F206" s="10">
        <v>3</v>
      </c>
      <c r="G206" s="10">
        <v>300</v>
      </c>
      <c r="H206" s="10">
        <f t="shared" si="3"/>
        <v>900</v>
      </c>
    </row>
    <row r="207" spans="1:8" x14ac:dyDescent="0.25">
      <c r="A207" s="4">
        <v>206</v>
      </c>
      <c r="B207" s="5">
        <v>44402</v>
      </c>
      <c r="C207" s="6" t="s">
        <v>16</v>
      </c>
      <c r="D207" s="6" t="s">
        <v>23</v>
      </c>
      <c r="E207" s="6" t="s">
        <v>21</v>
      </c>
      <c r="F207" s="10">
        <v>2</v>
      </c>
      <c r="G207" s="10">
        <v>190</v>
      </c>
      <c r="H207" s="10">
        <f t="shared" si="3"/>
        <v>380</v>
      </c>
    </row>
    <row r="208" spans="1:8" x14ac:dyDescent="0.25">
      <c r="A208" s="4">
        <v>207</v>
      </c>
      <c r="B208" s="5">
        <v>44403</v>
      </c>
      <c r="C208" s="6" t="s">
        <v>18</v>
      </c>
      <c r="D208" s="6" t="s">
        <v>23</v>
      </c>
      <c r="E208" s="6" t="s">
        <v>10</v>
      </c>
      <c r="F208" s="10">
        <v>7</v>
      </c>
      <c r="G208" s="10">
        <v>210</v>
      </c>
      <c r="H208" s="10">
        <f t="shared" si="3"/>
        <v>1470</v>
      </c>
    </row>
    <row r="209" spans="1:8" x14ac:dyDescent="0.25">
      <c r="A209" s="4">
        <v>208</v>
      </c>
      <c r="B209" s="5">
        <v>44404</v>
      </c>
      <c r="C209" s="6" t="s">
        <v>20</v>
      </c>
      <c r="D209" s="6" t="s">
        <v>23</v>
      </c>
      <c r="E209" s="6" t="s">
        <v>13</v>
      </c>
      <c r="F209" s="10">
        <v>6</v>
      </c>
      <c r="G209" s="10">
        <v>2100</v>
      </c>
      <c r="H209" s="10">
        <f t="shared" si="3"/>
        <v>12600</v>
      </c>
    </row>
    <row r="210" spans="1:8" x14ac:dyDescent="0.25">
      <c r="A210" s="4">
        <v>209</v>
      </c>
      <c r="B210" s="5">
        <v>44405</v>
      </c>
      <c r="C210" s="6" t="s">
        <v>20</v>
      </c>
      <c r="D210" s="6" t="s">
        <v>9</v>
      </c>
      <c r="E210" s="6" t="s">
        <v>15</v>
      </c>
      <c r="F210" s="10">
        <v>5</v>
      </c>
      <c r="G210" s="10">
        <v>1200</v>
      </c>
      <c r="H210" s="10">
        <f t="shared" si="3"/>
        <v>6000</v>
      </c>
    </row>
    <row r="211" spans="1:8" x14ac:dyDescent="0.25">
      <c r="A211" s="4">
        <v>210</v>
      </c>
      <c r="B211" s="5">
        <v>44406</v>
      </c>
      <c r="C211" s="6" t="s">
        <v>20</v>
      </c>
      <c r="D211" s="6" t="s">
        <v>12</v>
      </c>
      <c r="E211" s="6" t="s">
        <v>17</v>
      </c>
      <c r="F211" s="10">
        <v>4</v>
      </c>
      <c r="G211" s="10">
        <v>1500</v>
      </c>
      <c r="H211" s="10">
        <f t="shared" si="3"/>
        <v>6000</v>
      </c>
    </row>
    <row r="212" spans="1:8" x14ac:dyDescent="0.25">
      <c r="A212" s="4">
        <v>211</v>
      </c>
      <c r="B212" s="5">
        <v>44407</v>
      </c>
      <c r="C212" s="6" t="s">
        <v>20</v>
      </c>
      <c r="D212" s="6" t="s">
        <v>22</v>
      </c>
      <c r="E212" s="6" t="s">
        <v>19</v>
      </c>
      <c r="F212" s="10">
        <v>3</v>
      </c>
      <c r="G212" s="10">
        <v>300</v>
      </c>
      <c r="H212" s="10">
        <f t="shared" si="3"/>
        <v>900</v>
      </c>
    </row>
    <row r="213" spans="1:8" x14ac:dyDescent="0.25">
      <c r="A213" s="4">
        <v>212</v>
      </c>
      <c r="B213" s="5">
        <v>44408</v>
      </c>
      <c r="C213" s="6" t="s">
        <v>20</v>
      </c>
      <c r="D213" s="6" t="s">
        <v>23</v>
      </c>
      <c r="E213" s="6" t="s">
        <v>21</v>
      </c>
      <c r="F213" s="10">
        <v>2</v>
      </c>
      <c r="G213" s="10">
        <v>190</v>
      </c>
      <c r="H213" s="10">
        <f t="shared" si="3"/>
        <v>380</v>
      </c>
    </row>
    <row r="214" spans="1:8" x14ac:dyDescent="0.25">
      <c r="A214" s="4">
        <v>213</v>
      </c>
      <c r="B214" s="5">
        <v>44409</v>
      </c>
      <c r="C214" s="6" t="s">
        <v>20</v>
      </c>
      <c r="D214" s="6" t="s">
        <v>9</v>
      </c>
      <c r="E214" s="6" t="s">
        <v>10</v>
      </c>
      <c r="F214" s="10">
        <v>2</v>
      </c>
      <c r="G214" s="10">
        <v>210</v>
      </c>
      <c r="H214" s="10">
        <f t="shared" si="3"/>
        <v>420</v>
      </c>
    </row>
    <row r="215" spans="1:8" x14ac:dyDescent="0.25">
      <c r="A215" s="4">
        <v>214</v>
      </c>
      <c r="B215" s="5">
        <v>44410</v>
      </c>
      <c r="C215" s="6" t="s">
        <v>20</v>
      </c>
      <c r="D215" s="6" t="s">
        <v>12</v>
      </c>
      <c r="E215" s="6" t="s">
        <v>13</v>
      </c>
      <c r="F215" s="10">
        <v>7</v>
      </c>
      <c r="G215" s="10">
        <v>2100</v>
      </c>
      <c r="H215" s="10">
        <f t="shared" si="3"/>
        <v>14700</v>
      </c>
    </row>
    <row r="216" spans="1:8" x14ac:dyDescent="0.25">
      <c r="A216" s="4">
        <v>215</v>
      </c>
      <c r="B216" s="5">
        <v>44411</v>
      </c>
      <c r="C216" s="6" t="s">
        <v>20</v>
      </c>
      <c r="D216" s="6" t="s">
        <v>22</v>
      </c>
      <c r="E216" s="6" t="s">
        <v>15</v>
      </c>
      <c r="F216" s="10">
        <v>6</v>
      </c>
      <c r="G216" s="10">
        <v>1200</v>
      </c>
      <c r="H216" s="10">
        <f t="shared" si="3"/>
        <v>7200</v>
      </c>
    </row>
    <row r="217" spans="1:8" x14ac:dyDescent="0.25">
      <c r="A217" s="4">
        <v>216</v>
      </c>
      <c r="B217" s="5">
        <v>44412</v>
      </c>
      <c r="C217" s="6" t="s">
        <v>20</v>
      </c>
      <c r="D217" s="6" t="s">
        <v>23</v>
      </c>
      <c r="E217" s="6" t="s">
        <v>17</v>
      </c>
      <c r="F217" s="10">
        <v>5</v>
      </c>
      <c r="G217" s="10">
        <v>1500</v>
      </c>
      <c r="H217" s="10">
        <f t="shared" si="3"/>
        <v>7500</v>
      </c>
    </row>
    <row r="218" spans="1:8" x14ac:dyDescent="0.25">
      <c r="A218" s="4">
        <v>217</v>
      </c>
      <c r="B218" s="5">
        <v>44413</v>
      </c>
      <c r="C218" s="6" t="s">
        <v>8</v>
      </c>
      <c r="D218" s="6" t="s">
        <v>9</v>
      </c>
      <c r="E218" s="6" t="s">
        <v>19</v>
      </c>
      <c r="F218" s="10">
        <v>4</v>
      </c>
      <c r="G218" s="10">
        <v>300</v>
      </c>
      <c r="H218" s="10">
        <f t="shared" si="3"/>
        <v>1200</v>
      </c>
    </row>
    <row r="219" spans="1:8" x14ac:dyDescent="0.25">
      <c r="A219" s="4">
        <v>218</v>
      </c>
      <c r="B219" s="5">
        <v>44414</v>
      </c>
      <c r="C219" s="6" t="s">
        <v>11</v>
      </c>
      <c r="D219" s="6" t="s">
        <v>12</v>
      </c>
      <c r="E219" s="6" t="s">
        <v>21</v>
      </c>
      <c r="F219" s="10">
        <v>3</v>
      </c>
      <c r="G219" s="10">
        <v>190</v>
      </c>
      <c r="H219" s="10">
        <f t="shared" si="3"/>
        <v>570</v>
      </c>
    </row>
    <row r="220" spans="1:8" x14ac:dyDescent="0.25">
      <c r="A220" s="4">
        <v>219</v>
      </c>
      <c r="B220" s="5">
        <v>44415</v>
      </c>
      <c r="C220" s="6" t="s">
        <v>14</v>
      </c>
      <c r="D220" s="6" t="s">
        <v>9</v>
      </c>
      <c r="E220" s="6" t="s">
        <v>10</v>
      </c>
      <c r="F220" s="10">
        <v>2</v>
      </c>
      <c r="G220" s="10">
        <v>210</v>
      </c>
      <c r="H220" s="10">
        <f t="shared" si="3"/>
        <v>420</v>
      </c>
    </row>
    <row r="221" spans="1:8" x14ac:dyDescent="0.25">
      <c r="A221" s="4">
        <v>220</v>
      </c>
      <c r="B221" s="5">
        <v>44416</v>
      </c>
      <c r="C221" s="6" t="s">
        <v>16</v>
      </c>
      <c r="D221" s="6" t="s">
        <v>12</v>
      </c>
      <c r="E221" s="6" t="s">
        <v>15</v>
      </c>
      <c r="F221" s="10">
        <v>7</v>
      </c>
      <c r="G221" s="10">
        <v>2100</v>
      </c>
      <c r="H221" s="10">
        <f t="shared" si="3"/>
        <v>14700</v>
      </c>
    </row>
    <row r="222" spans="1:8" x14ac:dyDescent="0.25">
      <c r="A222" s="4">
        <v>221</v>
      </c>
      <c r="B222" s="5">
        <v>44417</v>
      </c>
      <c r="C222" s="6" t="s">
        <v>18</v>
      </c>
      <c r="D222" s="6" t="s">
        <v>9</v>
      </c>
      <c r="E222" s="6" t="s">
        <v>17</v>
      </c>
      <c r="F222" s="10">
        <v>6</v>
      </c>
      <c r="G222" s="10">
        <v>1200</v>
      </c>
      <c r="H222" s="10">
        <f t="shared" si="3"/>
        <v>7200</v>
      </c>
    </row>
    <row r="223" spans="1:8" x14ac:dyDescent="0.25">
      <c r="A223" s="4">
        <v>222</v>
      </c>
      <c r="B223" s="5">
        <v>44418</v>
      </c>
      <c r="C223" s="6" t="s">
        <v>20</v>
      </c>
      <c r="D223" s="6" t="s">
        <v>9</v>
      </c>
      <c r="E223" s="6" t="s">
        <v>19</v>
      </c>
      <c r="F223" s="10">
        <v>5</v>
      </c>
      <c r="G223" s="10">
        <v>300</v>
      </c>
      <c r="H223" s="10">
        <f t="shared" si="3"/>
        <v>1500</v>
      </c>
    </row>
    <row r="224" spans="1:8" x14ac:dyDescent="0.25">
      <c r="A224" s="4">
        <v>223</v>
      </c>
      <c r="B224" s="5">
        <v>44419</v>
      </c>
      <c r="C224" s="6" t="s">
        <v>8</v>
      </c>
      <c r="D224" s="6" t="s">
        <v>9</v>
      </c>
      <c r="E224" s="6" t="s">
        <v>21</v>
      </c>
      <c r="F224" s="10">
        <v>4</v>
      </c>
      <c r="G224" s="10">
        <v>200</v>
      </c>
      <c r="H224" s="10">
        <f t="shared" si="3"/>
        <v>800</v>
      </c>
    </row>
    <row r="225" spans="1:8" x14ac:dyDescent="0.25">
      <c r="A225" s="4">
        <v>224</v>
      </c>
      <c r="B225" s="5">
        <v>44420</v>
      </c>
      <c r="C225" s="6" t="s">
        <v>11</v>
      </c>
      <c r="D225" s="6" t="s">
        <v>12</v>
      </c>
      <c r="E225" s="6" t="s">
        <v>10</v>
      </c>
      <c r="F225" s="10">
        <v>3</v>
      </c>
      <c r="G225" s="10">
        <v>190</v>
      </c>
      <c r="H225" s="10">
        <f t="shared" si="3"/>
        <v>570</v>
      </c>
    </row>
    <row r="226" spans="1:8" x14ac:dyDescent="0.25">
      <c r="A226" s="4">
        <v>225</v>
      </c>
      <c r="B226" s="5">
        <v>44421</v>
      </c>
      <c r="C226" s="6" t="s">
        <v>14</v>
      </c>
      <c r="D226" s="6" t="s">
        <v>12</v>
      </c>
      <c r="E226" s="6" t="s">
        <v>13</v>
      </c>
      <c r="F226" s="10">
        <v>2</v>
      </c>
      <c r="G226" s="10">
        <v>2100</v>
      </c>
      <c r="H226" s="10">
        <f t="shared" si="3"/>
        <v>4200</v>
      </c>
    </row>
    <row r="227" spans="1:8" x14ac:dyDescent="0.25">
      <c r="A227" s="4">
        <v>226</v>
      </c>
      <c r="B227" s="5">
        <v>44422</v>
      </c>
      <c r="C227" s="6" t="s">
        <v>16</v>
      </c>
      <c r="D227" s="6" t="s">
        <v>9</v>
      </c>
      <c r="E227" s="6" t="s">
        <v>10</v>
      </c>
      <c r="F227" s="10">
        <v>7</v>
      </c>
      <c r="G227" s="10">
        <v>210</v>
      </c>
      <c r="H227" s="10">
        <f t="shared" si="3"/>
        <v>1470</v>
      </c>
    </row>
    <row r="228" spans="1:8" x14ac:dyDescent="0.25">
      <c r="A228" s="4">
        <v>227</v>
      </c>
      <c r="B228" s="5">
        <v>44423</v>
      </c>
      <c r="C228" s="6" t="s">
        <v>18</v>
      </c>
      <c r="D228" s="6" t="s">
        <v>9</v>
      </c>
      <c r="E228" s="6" t="s">
        <v>13</v>
      </c>
      <c r="F228" s="10">
        <v>6</v>
      </c>
      <c r="G228" s="10">
        <v>2100</v>
      </c>
      <c r="H228" s="10">
        <f t="shared" si="3"/>
        <v>12600</v>
      </c>
    </row>
    <row r="229" spans="1:8" x14ac:dyDescent="0.25">
      <c r="A229" s="4">
        <v>228</v>
      </c>
      <c r="B229" s="5">
        <v>44424</v>
      </c>
      <c r="C229" s="6" t="s">
        <v>20</v>
      </c>
      <c r="D229" s="6" t="s">
        <v>12</v>
      </c>
      <c r="E229" s="6" t="s">
        <v>15</v>
      </c>
      <c r="F229" s="10">
        <v>5</v>
      </c>
      <c r="G229" s="10">
        <v>1200</v>
      </c>
      <c r="H229" s="10">
        <f t="shared" si="3"/>
        <v>6000</v>
      </c>
    </row>
    <row r="230" spans="1:8" x14ac:dyDescent="0.25">
      <c r="A230" s="4">
        <v>229</v>
      </c>
      <c r="B230" s="5">
        <v>44425</v>
      </c>
      <c r="C230" s="6" t="s">
        <v>20</v>
      </c>
      <c r="D230" s="6" t="s">
        <v>9</v>
      </c>
      <c r="E230" s="6" t="s">
        <v>17</v>
      </c>
      <c r="F230" s="10">
        <v>4</v>
      </c>
      <c r="G230" s="10">
        <v>1500</v>
      </c>
      <c r="H230" s="10">
        <f t="shared" si="3"/>
        <v>6000</v>
      </c>
    </row>
    <row r="231" spans="1:8" x14ac:dyDescent="0.25">
      <c r="A231" s="4">
        <v>230</v>
      </c>
      <c r="B231" s="5">
        <v>44426</v>
      </c>
      <c r="C231" s="6" t="s">
        <v>8</v>
      </c>
      <c r="D231" s="6" t="s">
        <v>9</v>
      </c>
      <c r="E231" s="6" t="s">
        <v>19</v>
      </c>
      <c r="F231" s="10">
        <v>3</v>
      </c>
      <c r="G231" s="10">
        <v>300</v>
      </c>
      <c r="H231" s="10">
        <f t="shared" ref="H231:H262" si="4">F231*G231</f>
        <v>900</v>
      </c>
    </row>
    <row r="232" spans="1:8" x14ac:dyDescent="0.25">
      <c r="A232" s="4">
        <v>231</v>
      </c>
      <c r="B232" s="5">
        <v>44427</v>
      </c>
      <c r="C232" s="6" t="s">
        <v>11</v>
      </c>
      <c r="D232" s="6" t="s">
        <v>9</v>
      </c>
      <c r="E232" s="6" t="s">
        <v>21</v>
      </c>
      <c r="F232" s="10">
        <v>2</v>
      </c>
      <c r="G232" s="10">
        <v>190</v>
      </c>
      <c r="H232" s="10">
        <f t="shared" si="4"/>
        <v>380</v>
      </c>
    </row>
    <row r="233" spans="1:8" x14ac:dyDescent="0.25">
      <c r="A233" s="4">
        <v>232</v>
      </c>
      <c r="B233" s="5">
        <v>44428</v>
      </c>
      <c r="C233" s="6" t="s">
        <v>14</v>
      </c>
      <c r="D233" s="6" t="s">
        <v>9</v>
      </c>
      <c r="E233" s="6" t="s">
        <v>10</v>
      </c>
      <c r="F233" s="10">
        <v>7</v>
      </c>
      <c r="G233" s="10">
        <v>210</v>
      </c>
      <c r="H233" s="10">
        <f t="shared" si="4"/>
        <v>1470</v>
      </c>
    </row>
    <row r="234" spans="1:8" x14ac:dyDescent="0.25">
      <c r="A234" s="4">
        <v>233</v>
      </c>
      <c r="B234" s="5">
        <v>44429</v>
      </c>
      <c r="C234" s="6" t="s">
        <v>16</v>
      </c>
      <c r="D234" s="6" t="s">
        <v>9</v>
      </c>
      <c r="E234" s="6" t="s">
        <v>13</v>
      </c>
      <c r="F234" s="10">
        <v>6</v>
      </c>
      <c r="G234" s="10">
        <v>2100</v>
      </c>
      <c r="H234" s="10">
        <f t="shared" si="4"/>
        <v>12600</v>
      </c>
    </row>
    <row r="235" spans="1:8" x14ac:dyDescent="0.25">
      <c r="A235" s="4">
        <v>234</v>
      </c>
      <c r="B235" s="5">
        <v>44430</v>
      </c>
      <c r="C235" s="6" t="s">
        <v>18</v>
      </c>
      <c r="D235" s="6" t="s">
        <v>9</v>
      </c>
      <c r="E235" s="6" t="s">
        <v>13</v>
      </c>
      <c r="F235" s="10">
        <v>7</v>
      </c>
      <c r="G235" s="10">
        <v>2100</v>
      </c>
      <c r="H235" s="10">
        <f t="shared" si="4"/>
        <v>14700</v>
      </c>
    </row>
    <row r="236" spans="1:8" x14ac:dyDescent="0.25">
      <c r="A236" s="4">
        <v>235</v>
      </c>
      <c r="B236" s="5">
        <v>44431</v>
      </c>
      <c r="C236" s="6" t="s">
        <v>20</v>
      </c>
      <c r="D236" s="6" t="s">
        <v>9</v>
      </c>
      <c r="E236" s="6" t="s">
        <v>17</v>
      </c>
      <c r="F236" s="10">
        <v>4</v>
      </c>
      <c r="G236" s="10">
        <v>1500</v>
      </c>
      <c r="H236" s="10">
        <f t="shared" si="4"/>
        <v>6000</v>
      </c>
    </row>
    <row r="237" spans="1:8" x14ac:dyDescent="0.25">
      <c r="A237" s="4">
        <v>236</v>
      </c>
      <c r="B237" s="5">
        <v>44432</v>
      </c>
      <c r="C237" s="6" t="s">
        <v>8</v>
      </c>
      <c r="D237" s="6" t="s">
        <v>9</v>
      </c>
      <c r="E237" s="6" t="s">
        <v>19</v>
      </c>
      <c r="F237" s="10">
        <v>3</v>
      </c>
      <c r="G237" s="10">
        <v>300</v>
      </c>
      <c r="H237" s="10">
        <f t="shared" si="4"/>
        <v>900</v>
      </c>
    </row>
    <row r="238" spans="1:8" x14ac:dyDescent="0.25">
      <c r="A238" s="4">
        <v>237</v>
      </c>
      <c r="B238" s="5">
        <v>44433</v>
      </c>
      <c r="C238" s="6" t="s">
        <v>11</v>
      </c>
      <c r="D238" s="6" t="s">
        <v>12</v>
      </c>
      <c r="E238" s="6" t="s">
        <v>21</v>
      </c>
      <c r="F238" s="10">
        <v>2</v>
      </c>
      <c r="G238" s="10">
        <v>190</v>
      </c>
      <c r="H238" s="10">
        <f t="shared" si="4"/>
        <v>380</v>
      </c>
    </row>
    <row r="239" spans="1:8" x14ac:dyDescent="0.25">
      <c r="A239" s="4">
        <v>238</v>
      </c>
      <c r="B239" s="5">
        <v>44434</v>
      </c>
      <c r="C239" s="6" t="s">
        <v>14</v>
      </c>
      <c r="D239" s="6" t="s">
        <v>9</v>
      </c>
      <c r="E239" s="6" t="s">
        <v>10</v>
      </c>
      <c r="F239" s="10">
        <v>2</v>
      </c>
      <c r="G239" s="10">
        <v>210</v>
      </c>
      <c r="H239" s="10">
        <f t="shared" si="4"/>
        <v>420</v>
      </c>
    </row>
    <row r="240" spans="1:8" x14ac:dyDescent="0.25">
      <c r="A240" s="4">
        <v>239</v>
      </c>
      <c r="B240" s="5">
        <v>44435</v>
      </c>
      <c r="C240" s="6" t="s">
        <v>16</v>
      </c>
      <c r="D240" s="6" t="s">
        <v>12</v>
      </c>
      <c r="E240" s="6" t="s">
        <v>13</v>
      </c>
      <c r="F240" s="10">
        <v>7</v>
      </c>
      <c r="G240" s="10">
        <v>2100</v>
      </c>
      <c r="H240" s="10">
        <f t="shared" si="4"/>
        <v>14700</v>
      </c>
    </row>
    <row r="241" spans="1:8" x14ac:dyDescent="0.25">
      <c r="A241" s="4">
        <v>240</v>
      </c>
      <c r="B241" s="5">
        <v>44436</v>
      </c>
      <c r="C241" s="6" t="s">
        <v>18</v>
      </c>
      <c r="D241" s="6" t="s">
        <v>9</v>
      </c>
      <c r="E241" s="6" t="s">
        <v>15</v>
      </c>
      <c r="F241" s="10">
        <v>6</v>
      </c>
      <c r="G241" s="10">
        <v>1200</v>
      </c>
      <c r="H241" s="10">
        <f t="shared" si="4"/>
        <v>7200</v>
      </c>
    </row>
    <row r="242" spans="1:8" x14ac:dyDescent="0.25">
      <c r="A242" s="4">
        <v>241</v>
      </c>
      <c r="B242" s="5">
        <v>44437</v>
      </c>
      <c r="C242" s="6" t="s">
        <v>20</v>
      </c>
      <c r="D242" s="6" t="s">
        <v>9</v>
      </c>
      <c r="E242" s="6" t="s">
        <v>17</v>
      </c>
      <c r="F242" s="10">
        <v>5</v>
      </c>
      <c r="G242" s="10">
        <v>1500</v>
      </c>
      <c r="H242" s="10">
        <f t="shared" si="4"/>
        <v>7500</v>
      </c>
    </row>
    <row r="243" spans="1:8" x14ac:dyDescent="0.25">
      <c r="A243" s="4">
        <v>242</v>
      </c>
      <c r="B243" s="5">
        <v>44438</v>
      </c>
      <c r="C243" s="6" t="s">
        <v>20</v>
      </c>
      <c r="D243" s="6" t="s">
        <v>9</v>
      </c>
      <c r="E243" s="6" t="s">
        <v>19</v>
      </c>
      <c r="F243" s="10">
        <v>4</v>
      </c>
      <c r="G243" s="10">
        <v>300</v>
      </c>
      <c r="H243" s="10">
        <f t="shared" si="4"/>
        <v>1200</v>
      </c>
    </row>
    <row r="244" spans="1:8" x14ac:dyDescent="0.25">
      <c r="A244" s="4">
        <v>243</v>
      </c>
      <c r="B244" s="5">
        <v>44439</v>
      </c>
      <c r="C244" s="6" t="s">
        <v>8</v>
      </c>
      <c r="D244" s="6" t="s">
        <v>9</v>
      </c>
      <c r="E244" s="6" t="s">
        <v>19</v>
      </c>
      <c r="F244" s="10">
        <v>3</v>
      </c>
      <c r="G244" s="10">
        <v>300</v>
      </c>
      <c r="H244" s="10">
        <f t="shared" si="4"/>
        <v>900</v>
      </c>
    </row>
    <row r="245" spans="1:8" x14ac:dyDescent="0.25">
      <c r="A245" s="4">
        <v>244</v>
      </c>
      <c r="B245" s="5">
        <v>44440</v>
      </c>
      <c r="C245" s="6" t="s">
        <v>8</v>
      </c>
      <c r="D245" s="6" t="s">
        <v>12</v>
      </c>
      <c r="E245" s="6" t="s">
        <v>21</v>
      </c>
      <c r="F245" s="10">
        <v>2</v>
      </c>
      <c r="G245" s="10">
        <v>190</v>
      </c>
      <c r="H245" s="10">
        <f t="shared" si="4"/>
        <v>380</v>
      </c>
    </row>
    <row r="246" spans="1:8" x14ac:dyDescent="0.25">
      <c r="A246" s="4">
        <v>245</v>
      </c>
      <c r="B246" s="5">
        <v>44441</v>
      </c>
      <c r="C246" s="6" t="s">
        <v>8</v>
      </c>
      <c r="D246" s="6" t="s">
        <v>22</v>
      </c>
      <c r="E246" s="6" t="s">
        <v>10</v>
      </c>
      <c r="F246" s="10">
        <v>2</v>
      </c>
      <c r="G246" s="10">
        <v>210</v>
      </c>
      <c r="H246" s="10">
        <f t="shared" si="4"/>
        <v>420</v>
      </c>
    </row>
    <row r="247" spans="1:8" x14ac:dyDescent="0.25">
      <c r="A247" s="4">
        <v>246</v>
      </c>
      <c r="B247" s="5">
        <v>44442</v>
      </c>
      <c r="C247" s="6" t="s">
        <v>8</v>
      </c>
      <c r="D247" s="6" t="s">
        <v>23</v>
      </c>
      <c r="E247" s="6" t="s">
        <v>13</v>
      </c>
      <c r="F247" s="10">
        <v>7</v>
      </c>
      <c r="G247" s="10">
        <v>2100</v>
      </c>
      <c r="H247" s="10">
        <f t="shared" si="4"/>
        <v>14700</v>
      </c>
    </row>
    <row r="248" spans="1:8" x14ac:dyDescent="0.25">
      <c r="A248" s="4">
        <v>247</v>
      </c>
      <c r="B248" s="5">
        <v>44443</v>
      </c>
      <c r="C248" s="6" t="s">
        <v>8</v>
      </c>
      <c r="D248" s="6" t="s">
        <v>9</v>
      </c>
      <c r="E248" s="6" t="s">
        <v>15</v>
      </c>
      <c r="F248" s="10">
        <v>6</v>
      </c>
      <c r="G248" s="10">
        <v>1200</v>
      </c>
      <c r="H248" s="10">
        <f t="shared" si="4"/>
        <v>7200</v>
      </c>
    </row>
    <row r="249" spans="1:8" x14ac:dyDescent="0.25">
      <c r="A249" s="4">
        <v>248</v>
      </c>
      <c r="B249" s="5">
        <v>44444</v>
      </c>
      <c r="C249" s="6" t="s">
        <v>8</v>
      </c>
      <c r="D249" s="6" t="s">
        <v>12</v>
      </c>
      <c r="E249" s="6" t="s">
        <v>17</v>
      </c>
      <c r="F249" s="10">
        <v>5</v>
      </c>
      <c r="G249" s="10">
        <v>1500</v>
      </c>
      <c r="H249" s="10">
        <f t="shared" si="4"/>
        <v>7500</v>
      </c>
    </row>
    <row r="250" spans="1:8" x14ac:dyDescent="0.25">
      <c r="A250" s="4">
        <v>249</v>
      </c>
      <c r="B250" s="5">
        <v>44445</v>
      </c>
      <c r="C250" s="6" t="s">
        <v>8</v>
      </c>
      <c r="D250" s="6" t="s">
        <v>22</v>
      </c>
      <c r="E250" s="6" t="s">
        <v>19</v>
      </c>
      <c r="F250" s="10">
        <v>4</v>
      </c>
      <c r="G250" s="10">
        <v>300</v>
      </c>
      <c r="H250" s="10">
        <f t="shared" si="4"/>
        <v>1200</v>
      </c>
    </row>
    <row r="251" spans="1:8" x14ac:dyDescent="0.25">
      <c r="A251" s="4">
        <v>250</v>
      </c>
      <c r="B251" s="5">
        <v>44446</v>
      </c>
      <c r="C251" s="6" t="s">
        <v>8</v>
      </c>
      <c r="D251" s="6" t="s">
        <v>23</v>
      </c>
      <c r="E251" s="6" t="s">
        <v>19</v>
      </c>
      <c r="F251" s="10">
        <v>3</v>
      </c>
      <c r="G251" s="10">
        <v>300</v>
      </c>
      <c r="H251" s="10">
        <f t="shared" si="4"/>
        <v>900</v>
      </c>
    </row>
    <row r="252" spans="1:8" x14ac:dyDescent="0.25">
      <c r="A252" s="4">
        <v>251</v>
      </c>
      <c r="B252" s="5">
        <v>44447</v>
      </c>
      <c r="C252" s="6" t="s">
        <v>11</v>
      </c>
      <c r="D252" s="6" t="s">
        <v>12</v>
      </c>
      <c r="E252" s="6" t="s">
        <v>21</v>
      </c>
      <c r="F252" s="10">
        <v>2</v>
      </c>
      <c r="G252" s="10">
        <v>190</v>
      </c>
      <c r="H252" s="10">
        <f t="shared" si="4"/>
        <v>380</v>
      </c>
    </row>
    <row r="253" spans="1:8" x14ac:dyDescent="0.25">
      <c r="A253" s="4">
        <v>252</v>
      </c>
      <c r="B253" s="5">
        <v>44448</v>
      </c>
      <c r="C253" s="6" t="s">
        <v>11</v>
      </c>
      <c r="D253" s="6" t="s">
        <v>9</v>
      </c>
      <c r="E253" s="6" t="s">
        <v>10</v>
      </c>
      <c r="F253" s="10">
        <v>2</v>
      </c>
      <c r="G253" s="10">
        <v>210</v>
      </c>
      <c r="H253" s="10">
        <f t="shared" si="4"/>
        <v>420</v>
      </c>
    </row>
    <row r="254" spans="1:8" x14ac:dyDescent="0.25">
      <c r="A254" s="4">
        <v>253</v>
      </c>
      <c r="B254" s="5">
        <v>44449</v>
      </c>
      <c r="C254" s="6" t="s">
        <v>11</v>
      </c>
      <c r="D254" s="6" t="s">
        <v>22</v>
      </c>
      <c r="E254" s="6" t="s">
        <v>13</v>
      </c>
      <c r="F254" s="10">
        <v>7</v>
      </c>
      <c r="G254" s="10">
        <v>2100</v>
      </c>
      <c r="H254" s="10">
        <f t="shared" si="4"/>
        <v>14700</v>
      </c>
    </row>
    <row r="255" spans="1:8" x14ac:dyDescent="0.25">
      <c r="A255" s="4">
        <v>254</v>
      </c>
      <c r="B255" s="5">
        <v>44450</v>
      </c>
      <c r="C255" s="6" t="s">
        <v>11</v>
      </c>
      <c r="D255" s="6" t="s">
        <v>23</v>
      </c>
      <c r="E255" s="6" t="s">
        <v>15</v>
      </c>
      <c r="F255" s="10">
        <v>6</v>
      </c>
      <c r="G255" s="10">
        <v>1200</v>
      </c>
      <c r="H255" s="10">
        <f t="shared" si="4"/>
        <v>7200</v>
      </c>
    </row>
    <row r="256" spans="1:8" x14ac:dyDescent="0.25">
      <c r="A256" s="4">
        <v>255</v>
      </c>
      <c r="B256" s="5">
        <v>44451</v>
      </c>
      <c r="C256" s="6" t="s">
        <v>11</v>
      </c>
      <c r="D256" s="6" t="s">
        <v>12</v>
      </c>
      <c r="E256" s="6" t="s">
        <v>17</v>
      </c>
      <c r="F256" s="10">
        <v>5</v>
      </c>
      <c r="G256" s="10">
        <v>1500</v>
      </c>
      <c r="H256" s="10">
        <f t="shared" si="4"/>
        <v>7500</v>
      </c>
    </row>
    <row r="257" spans="1:8" x14ac:dyDescent="0.25">
      <c r="A257" s="4">
        <v>256</v>
      </c>
      <c r="B257" s="5">
        <v>44452</v>
      </c>
      <c r="C257" s="6" t="s">
        <v>11</v>
      </c>
      <c r="D257" s="6" t="s">
        <v>9</v>
      </c>
      <c r="E257" s="6" t="s">
        <v>19</v>
      </c>
      <c r="F257" s="10">
        <v>4</v>
      </c>
      <c r="G257" s="10">
        <v>300</v>
      </c>
      <c r="H257" s="10">
        <f t="shared" si="4"/>
        <v>1200</v>
      </c>
    </row>
    <row r="258" spans="1:8" x14ac:dyDescent="0.25">
      <c r="A258" s="4">
        <v>257</v>
      </c>
      <c r="B258" s="5">
        <v>44453</v>
      </c>
      <c r="C258" s="6" t="s">
        <v>11</v>
      </c>
      <c r="D258" s="6" t="s">
        <v>22</v>
      </c>
      <c r="E258" s="6" t="s">
        <v>10</v>
      </c>
      <c r="F258" s="10">
        <v>7</v>
      </c>
      <c r="G258" s="10">
        <v>210</v>
      </c>
      <c r="H258" s="10">
        <f t="shared" si="4"/>
        <v>1470</v>
      </c>
    </row>
    <row r="259" spans="1:8" x14ac:dyDescent="0.25">
      <c r="A259" s="4">
        <v>258</v>
      </c>
      <c r="B259" s="5">
        <v>44454</v>
      </c>
      <c r="C259" s="6" t="s">
        <v>11</v>
      </c>
      <c r="D259" s="6" t="s">
        <v>23</v>
      </c>
      <c r="E259" s="6" t="s">
        <v>13</v>
      </c>
      <c r="F259" s="10">
        <v>6</v>
      </c>
      <c r="G259" s="10">
        <v>2100</v>
      </c>
      <c r="H259" s="10">
        <f t="shared" si="4"/>
        <v>12600</v>
      </c>
    </row>
    <row r="260" spans="1:8" x14ac:dyDescent="0.25">
      <c r="A260" s="4">
        <v>259</v>
      </c>
      <c r="B260" s="5">
        <v>44455</v>
      </c>
      <c r="C260" s="6" t="s">
        <v>14</v>
      </c>
      <c r="D260" s="6" t="s">
        <v>23</v>
      </c>
      <c r="E260" s="6" t="s">
        <v>15</v>
      </c>
      <c r="F260" s="10">
        <v>5</v>
      </c>
      <c r="G260" s="10">
        <v>1200</v>
      </c>
      <c r="H260" s="10">
        <f t="shared" si="4"/>
        <v>6000</v>
      </c>
    </row>
    <row r="261" spans="1:8" x14ac:dyDescent="0.25">
      <c r="A261" s="4">
        <v>260</v>
      </c>
      <c r="B261" s="5">
        <v>44456</v>
      </c>
      <c r="C261" s="6" t="s">
        <v>16</v>
      </c>
      <c r="D261" s="6" t="s">
        <v>23</v>
      </c>
      <c r="E261" s="6" t="s">
        <v>17</v>
      </c>
      <c r="F261" s="10">
        <v>4</v>
      </c>
      <c r="G261" s="10">
        <v>1500</v>
      </c>
      <c r="H261" s="10">
        <f t="shared" si="4"/>
        <v>6000</v>
      </c>
    </row>
    <row r="262" spans="1:8" x14ac:dyDescent="0.25">
      <c r="A262" s="4">
        <v>261</v>
      </c>
      <c r="B262" s="5">
        <v>44457</v>
      </c>
      <c r="C262" s="6" t="s">
        <v>18</v>
      </c>
      <c r="D262" s="6" t="s">
        <v>23</v>
      </c>
      <c r="E262" s="6" t="s">
        <v>19</v>
      </c>
      <c r="F262" s="10">
        <v>3</v>
      </c>
      <c r="G262" s="10">
        <v>300</v>
      </c>
      <c r="H262" s="10">
        <f t="shared" si="4"/>
        <v>900</v>
      </c>
    </row>
    <row r="263" spans="1:8" x14ac:dyDescent="0.25">
      <c r="A263" s="4">
        <v>262</v>
      </c>
      <c r="B263" s="5">
        <v>44458</v>
      </c>
      <c r="C263" s="6" t="s">
        <v>20</v>
      </c>
      <c r="D263" s="6" t="s">
        <v>23</v>
      </c>
      <c r="E263" s="6" t="s">
        <v>21</v>
      </c>
      <c r="F263" s="10">
        <v>2</v>
      </c>
      <c r="G263" s="10">
        <v>190</v>
      </c>
      <c r="H263" s="10">
        <f t="shared" ref="H263:H322" si="5">F263*G263</f>
        <v>380</v>
      </c>
    </row>
    <row r="264" spans="1:8" x14ac:dyDescent="0.25">
      <c r="A264" s="4">
        <v>263</v>
      </c>
      <c r="B264" s="5">
        <v>44459</v>
      </c>
      <c r="C264" s="6" t="s">
        <v>20</v>
      </c>
      <c r="D264" s="6" t="s">
        <v>9</v>
      </c>
      <c r="E264" s="6" t="s">
        <v>10</v>
      </c>
      <c r="F264" s="10">
        <v>2</v>
      </c>
      <c r="G264" s="10">
        <v>210</v>
      </c>
      <c r="H264" s="10">
        <f t="shared" si="5"/>
        <v>420</v>
      </c>
    </row>
    <row r="265" spans="1:8" x14ac:dyDescent="0.25">
      <c r="A265" s="4">
        <v>264</v>
      </c>
      <c r="B265" s="5">
        <v>44460</v>
      </c>
      <c r="C265" s="6" t="s">
        <v>20</v>
      </c>
      <c r="D265" s="6" t="s">
        <v>12</v>
      </c>
      <c r="E265" s="6" t="s">
        <v>13</v>
      </c>
      <c r="F265" s="10">
        <v>7</v>
      </c>
      <c r="G265" s="10">
        <v>2100</v>
      </c>
      <c r="H265" s="10">
        <f t="shared" si="5"/>
        <v>14700</v>
      </c>
    </row>
    <row r="266" spans="1:8" x14ac:dyDescent="0.25">
      <c r="A266" s="4">
        <v>265</v>
      </c>
      <c r="B266" s="5">
        <v>44461</v>
      </c>
      <c r="C266" s="6" t="s">
        <v>20</v>
      </c>
      <c r="D266" s="6" t="s">
        <v>22</v>
      </c>
      <c r="E266" s="6" t="s">
        <v>15</v>
      </c>
      <c r="F266" s="10">
        <v>6</v>
      </c>
      <c r="G266" s="10">
        <v>1200</v>
      </c>
      <c r="H266" s="10">
        <f t="shared" si="5"/>
        <v>7200</v>
      </c>
    </row>
    <row r="267" spans="1:8" x14ac:dyDescent="0.25">
      <c r="A267" s="4">
        <v>266</v>
      </c>
      <c r="B267" s="5">
        <v>44462</v>
      </c>
      <c r="C267" s="6" t="s">
        <v>20</v>
      </c>
      <c r="D267" s="6" t="s">
        <v>23</v>
      </c>
      <c r="E267" s="6" t="s">
        <v>17</v>
      </c>
      <c r="F267" s="10">
        <v>5</v>
      </c>
      <c r="G267" s="10">
        <v>1500</v>
      </c>
      <c r="H267" s="10">
        <f t="shared" si="5"/>
        <v>7500</v>
      </c>
    </row>
    <row r="268" spans="1:8" x14ac:dyDescent="0.25">
      <c r="A268" s="4">
        <v>267</v>
      </c>
      <c r="B268" s="5">
        <v>44463</v>
      </c>
      <c r="C268" s="6" t="s">
        <v>20</v>
      </c>
      <c r="D268" s="6" t="s">
        <v>9</v>
      </c>
      <c r="E268" s="6" t="s">
        <v>13</v>
      </c>
      <c r="F268" s="10">
        <v>7</v>
      </c>
      <c r="G268" s="10">
        <v>2100</v>
      </c>
      <c r="H268" s="10">
        <f t="shared" si="5"/>
        <v>14700</v>
      </c>
    </row>
    <row r="269" spans="1:8" x14ac:dyDescent="0.25">
      <c r="A269" s="4">
        <v>268</v>
      </c>
      <c r="B269" s="5">
        <v>44464</v>
      </c>
      <c r="C269" s="6" t="s">
        <v>20</v>
      </c>
      <c r="D269" s="6" t="s">
        <v>12</v>
      </c>
      <c r="E269" s="6" t="s">
        <v>13</v>
      </c>
      <c r="F269" s="10">
        <v>7</v>
      </c>
      <c r="G269" s="10">
        <v>2100</v>
      </c>
      <c r="H269" s="10">
        <f t="shared" si="5"/>
        <v>14700</v>
      </c>
    </row>
    <row r="270" spans="1:8" x14ac:dyDescent="0.25">
      <c r="A270" s="4">
        <v>269</v>
      </c>
      <c r="B270" s="5">
        <v>44465</v>
      </c>
      <c r="C270" s="6" t="s">
        <v>20</v>
      </c>
      <c r="D270" s="6" t="s">
        <v>22</v>
      </c>
      <c r="E270" s="6" t="s">
        <v>13</v>
      </c>
      <c r="F270" s="10">
        <v>7</v>
      </c>
      <c r="G270" s="10">
        <v>2100</v>
      </c>
      <c r="H270" s="10">
        <f t="shared" si="5"/>
        <v>14700</v>
      </c>
    </row>
    <row r="271" spans="1:8" x14ac:dyDescent="0.25">
      <c r="A271" s="4">
        <v>270</v>
      </c>
      <c r="B271" s="5">
        <v>44466</v>
      </c>
      <c r="C271" s="6" t="s">
        <v>20</v>
      </c>
      <c r="D271" s="6" t="s">
        <v>23</v>
      </c>
      <c r="E271" s="6" t="s">
        <v>13</v>
      </c>
      <c r="F271" s="10">
        <v>7</v>
      </c>
      <c r="G271" s="10">
        <v>2100</v>
      </c>
      <c r="H271" s="10">
        <f t="shared" si="5"/>
        <v>14700</v>
      </c>
    </row>
    <row r="272" spans="1:8" x14ac:dyDescent="0.25">
      <c r="A272" s="4">
        <v>271</v>
      </c>
      <c r="B272" s="5">
        <v>44467</v>
      </c>
      <c r="C272" s="6" t="s">
        <v>8</v>
      </c>
      <c r="D272" s="6" t="s">
        <v>9</v>
      </c>
      <c r="E272" s="6" t="s">
        <v>13</v>
      </c>
      <c r="F272" s="10">
        <v>7</v>
      </c>
      <c r="G272" s="10">
        <v>2100</v>
      </c>
      <c r="H272" s="10">
        <f t="shared" si="5"/>
        <v>14700</v>
      </c>
    </row>
    <row r="273" spans="1:8" x14ac:dyDescent="0.25">
      <c r="A273" s="4">
        <v>272</v>
      </c>
      <c r="B273" s="5">
        <v>44468</v>
      </c>
      <c r="C273" s="6" t="s">
        <v>11</v>
      </c>
      <c r="D273" s="6" t="s">
        <v>12</v>
      </c>
      <c r="E273" s="6" t="s">
        <v>13</v>
      </c>
      <c r="F273" s="10">
        <v>7</v>
      </c>
      <c r="G273" s="10">
        <v>2100</v>
      </c>
      <c r="H273" s="10">
        <f t="shared" si="5"/>
        <v>14700</v>
      </c>
    </row>
    <row r="274" spans="1:8" x14ac:dyDescent="0.25">
      <c r="A274" s="4">
        <v>273</v>
      </c>
      <c r="B274" s="5">
        <v>44469</v>
      </c>
      <c r="C274" s="6" t="s">
        <v>14</v>
      </c>
      <c r="D274" s="6" t="s">
        <v>9</v>
      </c>
      <c r="E274" s="6" t="s">
        <v>13</v>
      </c>
      <c r="F274" s="10">
        <v>7</v>
      </c>
      <c r="G274" s="10">
        <v>2100</v>
      </c>
      <c r="H274" s="10">
        <f t="shared" si="5"/>
        <v>14700</v>
      </c>
    </row>
    <row r="275" spans="1:8" x14ac:dyDescent="0.25">
      <c r="A275" s="4">
        <v>274</v>
      </c>
      <c r="B275" s="5">
        <v>44470</v>
      </c>
      <c r="C275" s="6" t="s">
        <v>16</v>
      </c>
      <c r="D275" s="6" t="s">
        <v>12</v>
      </c>
      <c r="E275" s="6" t="s">
        <v>13</v>
      </c>
      <c r="F275" s="10">
        <v>7</v>
      </c>
      <c r="G275" s="10">
        <v>2100</v>
      </c>
      <c r="H275" s="10">
        <f t="shared" si="5"/>
        <v>14700</v>
      </c>
    </row>
    <row r="276" spans="1:8" x14ac:dyDescent="0.25">
      <c r="A276" s="4">
        <v>275</v>
      </c>
      <c r="B276" s="5">
        <v>44471</v>
      </c>
      <c r="C276" s="6" t="s">
        <v>18</v>
      </c>
      <c r="D276" s="6" t="s">
        <v>9</v>
      </c>
      <c r="E276" s="6" t="s">
        <v>13</v>
      </c>
      <c r="F276" s="10">
        <v>7</v>
      </c>
      <c r="G276" s="10">
        <v>2100</v>
      </c>
      <c r="H276" s="10">
        <f t="shared" si="5"/>
        <v>14700</v>
      </c>
    </row>
    <row r="277" spans="1:8" x14ac:dyDescent="0.25">
      <c r="A277" s="4">
        <v>276</v>
      </c>
      <c r="B277" s="5">
        <v>44472</v>
      </c>
      <c r="C277" s="6" t="s">
        <v>20</v>
      </c>
      <c r="D277" s="6" t="s">
        <v>9</v>
      </c>
      <c r="E277" s="6" t="s">
        <v>13</v>
      </c>
      <c r="F277" s="10">
        <v>7</v>
      </c>
      <c r="G277" s="10">
        <v>2100</v>
      </c>
      <c r="H277" s="10">
        <f t="shared" si="5"/>
        <v>14700</v>
      </c>
    </row>
    <row r="278" spans="1:8" x14ac:dyDescent="0.25">
      <c r="A278" s="4">
        <v>277</v>
      </c>
      <c r="B278" s="5">
        <v>44473</v>
      </c>
      <c r="C278" s="6" t="s">
        <v>8</v>
      </c>
      <c r="D278" s="6" t="s">
        <v>9</v>
      </c>
      <c r="E278" s="6" t="s">
        <v>13</v>
      </c>
      <c r="F278" s="10">
        <v>7</v>
      </c>
      <c r="G278" s="10">
        <v>2100</v>
      </c>
      <c r="H278" s="10">
        <f t="shared" si="5"/>
        <v>14700</v>
      </c>
    </row>
    <row r="279" spans="1:8" x14ac:dyDescent="0.25">
      <c r="A279" s="4">
        <v>278</v>
      </c>
      <c r="B279" s="5">
        <v>44474</v>
      </c>
      <c r="C279" s="6" t="s">
        <v>11</v>
      </c>
      <c r="D279" s="6" t="s">
        <v>12</v>
      </c>
      <c r="E279" s="6" t="s">
        <v>15</v>
      </c>
      <c r="F279" s="10">
        <v>5</v>
      </c>
      <c r="G279" s="10">
        <v>1200</v>
      </c>
      <c r="H279" s="10">
        <f t="shared" si="5"/>
        <v>6000</v>
      </c>
    </row>
    <row r="280" spans="1:8" x14ac:dyDescent="0.25">
      <c r="A280" s="4">
        <v>279</v>
      </c>
      <c r="B280" s="5">
        <v>44475</v>
      </c>
      <c r="C280" s="6" t="s">
        <v>14</v>
      </c>
      <c r="D280" s="6" t="s">
        <v>12</v>
      </c>
      <c r="E280" s="6" t="s">
        <v>17</v>
      </c>
      <c r="F280" s="10">
        <v>4</v>
      </c>
      <c r="G280" s="10">
        <v>1500</v>
      </c>
      <c r="H280" s="10">
        <f t="shared" si="5"/>
        <v>6000</v>
      </c>
    </row>
    <row r="281" spans="1:8" x14ac:dyDescent="0.25">
      <c r="A281" s="4">
        <v>280</v>
      </c>
      <c r="B281" s="5">
        <v>44476</v>
      </c>
      <c r="C281" s="6" t="s">
        <v>16</v>
      </c>
      <c r="D281" s="6" t="s">
        <v>9</v>
      </c>
      <c r="E281" s="6" t="s">
        <v>19</v>
      </c>
      <c r="F281" s="10">
        <v>3</v>
      </c>
      <c r="G281" s="10">
        <v>300</v>
      </c>
      <c r="H281" s="10">
        <f t="shared" si="5"/>
        <v>900</v>
      </c>
    </row>
    <row r="282" spans="1:8" x14ac:dyDescent="0.25">
      <c r="A282" s="4">
        <v>281</v>
      </c>
      <c r="B282" s="5">
        <v>44477</v>
      </c>
      <c r="C282" s="6" t="s">
        <v>18</v>
      </c>
      <c r="D282" s="6" t="s">
        <v>9</v>
      </c>
      <c r="E282" s="6" t="s">
        <v>21</v>
      </c>
      <c r="F282" s="10">
        <v>2</v>
      </c>
      <c r="G282" s="10">
        <v>190</v>
      </c>
      <c r="H282" s="10">
        <f t="shared" si="5"/>
        <v>380</v>
      </c>
    </row>
    <row r="283" spans="1:8" x14ac:dyDescent="0.25">
      <c r="A283" s="4">
        <v>282</v>
      </c>
      <c r="B283" s="5">
        <v>44478</v>
      </c>
      <c r="C283" s="6" t="s">
        <v>20</v>
      </c>
      <c r="D283" s="6" t="s">
        <v>12</v>
      </c>
      <c r="E283" s="6" t="s">
        <v>10</v>
      </c>
      <c r="F283" s="10">
        <v>7</v>
      </c>
      <c r="G283" s="10">
        <v>210</v>
      </c>
      <c r="H283" s="10">
        <f t="shared" si="5"/>
        <v>1470</v>
      </c>
    </row>
    <row r="284" spans="1:8" x14ac:dyDescent="0.25">
      <c r="A284" s="4">
        <v>283</v>
      </c>
      <c r="B284" s="5">
        <v>44479</v>
      </c>
      <c r="C284" s="6" t="s">
        <v>20</v>
      </c>
      <c r="D284" s="6" t="s">
        <v>9</v>
      </c>
      <c r="E284" s="6" t="s">
        <v>13</v>
      </c>
      <c r="F284" s="10">
        <v>6</v>
      </c>
      <c r="G284" s="10">
        <v>2100</v>
      </c>
      <c r="H284" s="10">
        <f t="shared" si="5"/>
        <v>12600</v>
      </c>
    </row>
    <row r="285" spans="1:8" x14ac:dyDescent="0.25">
      <c r="A285" s="4">
        <v>284</v>
      </c>
      <c r="B285" s="5">
        <v>44480</v>
      </c>
      <c r="C285" s="6" t="s">
        <v>8</v>
      </c>
      <c r="D285" s="6" t="s">
        <v>9</v>
      </c>
      <c r="E285" s="6" t="s">
        <v>15</v>
      </c>
      <c r="F285" s="10">
        <v>5</v>
      </c>
      <c r="G285" s="10">
        <v>1200</v>
      </c>
      <c r="H285" s="10">
        <f t="shared" si="5"/>
        <v>6000</v>
      </c>
    </row>
    <row r="286" spans="1:8" x14ac:dyDescent="0.25">
      <c r="A286" s="4">
        <v>285</v>
      </c>
      <c r="B286" s="5">
        <v>44481</v>
      </c>
      <c r="C286" s="6" t="s">
        <v>11</v>
      </c>
      <c r="D286" s="6" t="s">
        <v>9</v>
      </c>
      <c r="E286" s="6" t="s">
        <v>17</v>
      </c>
      <c r="F286" s="10">
        <v>4</v>
      </c>
      <c r="G286" s="10">
        <v>1500</v>
      </c>
      <c r="H286" s="10">
        <f t="shared" si="5"/>
        <v>6000</v>
      </c>
    </row>
    <row r="287" spans="1:8" x14ac:dyDescent="0.25">
      <c r="A287" s="4">
        <v>286</v>
      </c>
      <c r="B287" s="5">
        <v>44482</v>
      </c>
      <c r="C287" s="6" t="s">
        <v>14</v>
      </c>
      <c r="D287" s="6" t="s">
        <v>9</v>
      </c>
      <c r="E287" s="6" t="s">
        <v>19</v>
      </c>
      <c r="F287" s="10">
        <v>3</v>
      </c>
      <c r="G287" s="10">
        <v>300</v>
      </c>
      <c r="H287" s="10">
        <f t="shared" si="5"/>
        <v>900</v>
      </c>
    </row>
    <row r="288" spans="1:8" x14ac:dyDescent="0.25">
      <c r="A288" s="4">
        <v>287</v>
      </c>
      <c r="B288" s="5">
        <v>44483</v>
      </c>
      <c r="C288" s="6" t="s">
        <v>16</v>
      </c>
      <c r="D288" s="6" t="s">
        <v>9</v>
      </c>
      <c r="E288" s="6" t="s">
        <v>21</v>
      </c>
      <c r="F288" s="10">
        <v>2</v>
      </c>
      <c r="G288" s="10">
        <v>190</v>
      </c>
      <c r="H288" s="10">
        <f t="shared" si="5"/>
        <v>380</v>
      </c>
    </row>
    <row r="289" spans="1:8" x14ac:dyDescent="0.25">
      <c r="A289" s="4">
        <v>288</v>
      </c>
      <c r="B289" s="5">
        <v>44484</v>
      </c>
      <c r="C289" s="6" t="s">
        <v>18</v>
      </c>
      <c r="D289" s="6" t="s">
        <v>9</v>
      </c>
      <c r="E289" s="6" t="s">
        <v>10</v>
      </c>
      <c r="F289" s="10">
        <v>2</v>
      </c>
      <c r="G289" s="10">
        <v>210</v>
      </c>
      <c r="H289" s="10">
        <f t="shared" si="5"/>
        <v>420</v>
      </c>
    </row>
    <row r="290" spans="1:8" x14ac:dyDescent="0.25">
      <c r="A290" s="4">
        <v>289</v>
      </c>
      <c r="B290" s="5">
        <v>44485</v>
      </c>
      <c r="C290" s="6" t="s">
        <v>20</v>
      </c>
      <c r="D290" s="6" t="s">
        <v>9</v>
      </c>
      <c r="E290" s="6" t="s">
        <v>13</v>
      </c>
      <c r="F290" s="10">
        <v>7</v>
      </c>
      <c r="G290" s="10">
        <v>2100</v>
      </c>
      <c r="H290" s="10">
        <f t="shared" si="5"/>
        <v>14700</v>
      </c>
    </row>
    <row r="291" spans="1:8" x14ac:dyDescent="0.25">
      <c r="A291" s="4">
        <v>290</v>
      </c>
      <c r="B291" s="5">
        <v>44486</v>
      </c>
      <c r="C291" s="6" t="s">
        <v>8</v>
      </c>
      <c r="D291" s="6" t="s">
        <v>9</v>
      </c>
      <c r="E291" s="6" t="s">
        <v>15</v>
      </c>
      <c r="F291" s="10">
        <v>6</v>
      </c>
      <c r="G291" s="10">
        <v>1200</v>
      </c>
      <c r="H291" s="10">
        <f t="shared" si="5"/>
        <v>7200</v>
      </c>
    </row>
    <row r="292" spans="1:8" x14ac:dyDescent="0.25">
      <c r="A292" s="4">
        <v>291</v>
      </c>
      <c r="B292" s="5">
        <v>44487</v>
      </c>
      <c r="C292" s="6" t="s">
        <v>11</v>
      </c>
      <c r="D292" s="6" t="s">
        <v>12</v>
      </c>
      <c r="E292" s="6" t="s">
        <v>17</v>
      </c>
      <c r="F292" s="10">
        <v>5</v>
      </c>
      <c r="G292" s="10">
        <v>1500</v>
      </c>
      <c r="H292" s="10">
        <f t="shared" si="5"/>
        <v>7500</v>
      </c>
    </row>
    <row r="293" spans="1:8" x14ac:dyDescent="0.25">
      <c r="A293" s="4">
        <v>292</v>
      </c>
      <c r="B293" s="5">
        <v>44488</v>
      </c>
      <c r="C293" s="6" t="s">
        <v>14</v>
      </c>
      <c r="D293" s="6" t="s">
        <v>9</v>
      </c>
      <c r="E293" s="6" t="s">
        <v>19</v>
      </c>
      <c r="F293" s="10">
        <v>4</v>
      </c>
      <c r="G293" s="10">
        <v>300</v>
      </c>
      <c r="H293" s="10">
        <f t="shared" si="5"/>
        <v>1200</v>
      </c>
    </row>
    <row r="294" spans="1:8" x14ac:dyDescent="0.25">
      <c r="A294" s="4">
        <v>293</v>
      </c>
      <c r="B294" s="5">
        <v>44489</v>
      </c>
      <c r="C294" s="6" t="s">
        <v>16</v>
      </c>
      <c r="D294" s="6" t="s">
        <v>12</v>
      </c>
      <c r="E294" s="6" t="s">
        <v>17</v>
      </c>
      <c r="F294" s="10">
        <v>5</v>
      </c>
      <c r="G294" s="10">
        <v>1500</v>
      </c>
      <c r="H294" s="10">
        <f t="shared" si="5"/>
        <v>7500</v>
      </c>
    </row>
    <row r="295" spans="1:8" x14ac:dyDescent="0.25">
      <c r="A295" s="4">
        <v>294</v>
      </c>
      <c r="B295" s="5">
        <v>44490</v>
      </c>
      <c r="C295" s="6" t="s">
        <v>18</v>
      </c>
      <c r="D295" s="6" t="s">
        <v>9</v>
      </c>
      <c r="E295" s="6" t="s">
        <v>19</v>
      </c>
      <c r="F295" s="10">
        <v>4</v>
      </c>
      <c r="G295" s="10">
        <v>300</v>
      </c>
      <c r="H295" s="10">
        <f t="shared" si="5"/>
        <v>1200</v>
      </c>
    </row>
    <row r="296" spans="1:8" x14ac:dyDescent="0.25">
      <c r="A296" s="4">
        <v>295</v>
      </c>
      <c r="B296" s="5">
        <v>44491</v>
      </c>
      <c r="C296" s="6" t="s">
        <v>20</v>
      </c>
      <c r="D296" s="6" t="s">
        <v>9</v>
      </c>
      <c r="E296" s="6" t="s">
        <v>17</v>
      </c>
      <c r="F296" s="10">
        <v>5</v>
      </c>
      <c r="G296" s="10">
        <v>1500</v>
      </c>
      <c r="H296" s="10">
        <f t="shared" si="5"/>
        <v>7500</v>
      </c>
    </row>
    <row r="297" spans="1:8" x14ac:dyDescent="0.25">
      <c r="A297" s="4">
        <v>296</v>
      </c>
      <c r="B297" s="5">
        <v>44492</v>
      </c>
      <c r="C297" s="6" t="s">
        <v>20</v>
      </c>
      <c r="D297" s="6" t="s">
        <v>9</v>
      </c>
      <c r="E297" s="6" t="s">
        <v>19</v>
      </c>
      <c r="F297" s="10">
        <v>4</v>
      </c>
      <c r="G297" s="10">
        <v>300</v>
      </c>
      <c r="H297" s="10">
        <f t="shared" si="5"/>
        <v>1200</v>
      </c>
    </row>
    <row r="298" spans="1:8" x14ac:dyDescent="0.25">
      <c r="A298" s="4">
        <v>297</v>
      </c>
      <c r="B298" s="5">
        <v>44493</v>
      </c>
      <c r="C298" s="6" t="s">
        <v>8</v>
      </c>
      <c r="D298" s="6" t="s">
        <v>9</v>
      </c>
      <c r="E298" s="6" t="s">
        <v>17</v>
      </c>
      <c r="F298" s="10">
        <v>5</v>
      </c>
      <c r="G298" s="10">
        <v>1500</v>
      </c>
      <c r="H298" s="10">
        <f t="shared" si="5"/>
        <v>7500</v>
      </c>
    </row>
    <row r="299" spans="1:8" x14ac:dyDescent="0.25">
      <c r="A299" s="4">
        <v>298</v>
      </c>
      <c r="B299" s="5">
        <v>44494</v>
      </c>
      <c r="C299" s="6" t="s">
        <v>8</v>
      </c>
      <c r="D299" s="6" t="s">
        <v>12</v>
      </c>
      <c r="E299" s="6" t="s">
        <v>19</v>
      </c>
      <c r="F299" s="10">
        <v>4</v>
      </c>
      <c r="G299" s="10">
        <v>300</v>
      </c>
      <c r="H299" s="10">
        <f t="shared" si="5"/>
        <v>1200</v>
      </c>
    </row>
    <row r="300" spans="1:8" x14ac:dyDescent="0.25">
      <c r="A300" s="4">
        <v>299</v>
      </c>
      <c r="B300" s="5">
        <v>44495</v>
      </c>
      <c r="C300" s="6" t="s">
        <v>8</v>
      </c>
      <c r="D300" s="6" t="s">
        <v>22</v>
      </c>
      <c r="E300" s="6" t="s">
        <v>17</v>
      </c>
      <c r="F300" s="10">
        <v>5</v>
      </c>
      <c r="G300" s="10">
        <v>1500</v>
      </c>
      <c r="H300" s="10">
        <f t="shared" si="5"/>
        <v>7500</v>
      </c>
    </row>
    <row r="301" spans="1:8" x14ac:dyDescent="0.25">
      <c r="A301" s="4">
        <v>300</v>
      </c>
      <c r="B301" s="5">
        <v>44496</v>
      </c>
      <c r="C301" s="6" t="s">
        <v>8</v>
      </c>
      <c r="D301" s="6" t="s">
        <v>23</v>
      </c>
      <c r="E301" s="6" t="s">
        <v>19</v>
      </c>
      <c r="F301" s="10">
        <v>4</v>
      </c>
      <c r="G301" s="10">
        <v>300</v>
      </c>
      <c r="H301" s="10">
        <f t="shared" si="5"/>
        <v>1200</v>
      </c>
    </row>
    <row r="302" spans="1:8" x14ac:dyDescent="0.25">
      <c r="A302" s="4">
        <v>301</v>
      </c>
      <c r="B302" s="5">
        <v>44497</v>
      </c>
      <c r="C302" s="6" t="s">
        <v>8</v>
      </c>
      <c r="D302" s="6" t="s">
        <v>9</v>
      </c>
      <c r="E302" s="6" t="s">
        <v>17</v>
      </c>
      <c r="F302" s="10">
        <v>5</v>
      </c>
      <c r="G302" s="10">
        <v>1500</v>
      </c>
      <c r="H302" s="10">
        <f t="shared" si="5"/>
        <v>7500</v>
      </c>
    </row>
    <row r="303" spans="1:8" x14ac:dyDescent="0.25">
      <c r="A303" s="4">
        <v>302</v>
      </c>
      <c r="B303" s="5">
        <v>44498</v>
      </c>
      <c r="C303" s="6" t="s">
        <v>8</v>
      </c>
      <c r="D303" s="6" t="s">
        <v>12</v>
      </c>
      <c r="E303" s="6" t="s">
        <v>13</v>
      </c>
      <c r="F303" s="10">
        <v>6</v>
      </c>
      <c r="G303" s="10">
        <v>2100</v>
      </c>
      <c r="H303" s="10">
        <f t="shared" si="5"/>
        <v>12600</v>
      </c>
    </row>
    <row r="304" spans="1:8" x14ac:dyDescent="0.25">
      <c r="A304" s="4">
        <v>303</v>
      </c>
      <c r="B304" s="5">
        <v>44499</v>
      </c>
      <c r="C304" s="6" t="s">
        <v>8</v>
      </c>
      <c r="D304" s="6" t="s">
        <v>22</v>
      </c>
      <c r="E304" s="6" t="s">
        <v>15</v>
      </c>
      <c r="F304" s="10">
        <v>5</v>
      </c>
      <c r="G304" s="10">
        <v>1200</v>
      </c>
      <c r="H304" s="10">
        <f t="shared" si="5"/>
        <v>6000</v>
      </c>
    </row>
    <row r="305" spans="1:8" x14ac:dyDescent="0.25">
      <c r="A305" s="4">
        <v>304</v>
      </c>
      <c r="B305" s="5">
        <v>44500</v>
      </c>
      <c r="C305" s="6" t="s">
        <v>8</v>
      </c>
      <c r="D305" s="6" t="s">
        <v>23</v>
      </c>
      <c r="E305" s="6" t="s">
        <v>17</v>
      </c>
      <c r="F305" s="10">
        <v>4</v>
      </c>
      <c r="G305" s="10">
        <v>1500</v>
      </c>
      <c r="H305" s="10">
        <f t="shared" si="5"/>
        <v>6000</v>
      </c>
    </row>
    <row r="306" spans="1:8" x14ac:dyDescent="0.25">
      <c r="A306" s="4">
        <v>305</v>
      </c>
      <c r="B306" s="5">
        <v>44501</v>
      </c>
      <c r="C306" s="6" t="s">
        <v>11</v>
      </c>
      <c r="D306" s="6" t="s">
        <v>12</v>
      </c>
      <c r="E306" s="6" t="s">
        <v>19</v>
      </c>
      <c r="F306" s="10">
        <v>3</v>
      </c>
      <c r="G306" s="10">
        <v>300</v>
      </c>
      <c r="H306" s="10">
        <f t="shared" si="5"/>
        <v>900</v>
      </c>
    </row>
    <row r="307" spans="1:8" x14ac:dyDescent="0.25">
      <c r="A307" s="4">
        <v>306</v>
      </c>
      <c r="B307" s="5">
        <v>44502</v>
      </c>
      <c r="C307" s="6" t="s">
        <v>11</v>
      </c>
      <c r="D307" s="6" t="s">
        <v>9</v>
      </c>
      <c r="E307" s="6" t="s">
        <v>21</v>
      </c>
      <c r="F307" s="10">
        <v>2</v>
      </c>
      <c r="G307" s="10">
        <v>190</v>
      </c>
      <c r="H307" s="10">
        <f t="shared" si="5"/>
        <v>380</v>
      </c>
    </row>
    <row r="308" spans="1:8" x14ac:dyDescent="0.25">
      <c r="A308" s="4">
        <v>307</v>
      </c>
      <c r="B308" s="5">
        <v>44503</v>
      </c>
      <c r="C308" s="6" t="s">
        <v>11</v>
      </c>
      <c r="D308" s="6" t="s">
        <v>22</v>
      </c>
      <c r="E308" s="6" t="s">
        <v>21</v>
      </c>
      <c r="F308" s="10">
        <v>2</v>
      </c>
      <c r="G308" s="10">
        <v>190</v>
      </c>
      <c r="H308" s="10">
        <f t="shared" si="5"/>
        <v>380</v>
      </c>
    </row>
    <row r="309" spans="1:8" x14ac:dyDescent="0.25">
      <c r="A309" s="4">
        <v>308</v>
      </c>
      <c r="B309" s="5">
        <v>44504</v>
      </c>
      <c r="C309" s="6" t="s">
        <v>11</v>
      </c>
      <c r="D309" s="6" t="s">
        <v>23</v>
      </c>
      <c r="E309" s="6" t="s">
        <v>21</v>
      </c>
      <c r="F309" s="10">
        <v>2</v>
      </c>
      <c r="G309" s="10">
        <v>190</v>
      </c>
      <c r="H309" s="10">
        <f t="shared" si="5"/>
        <v>380</v>
      </c>
    </row>
    <row r="310" spans="1:8" x14ac:dyDescent="0.25">
      <c r="A310" s="4">
        <v>309</v>
      </c>
      <c r="B310" s="5">
        <v>44505</v>
      </c>
      <c r="C310" s="6" t="s">
        <v>11</v>
      </c>
      <c r="D310" s="6" t="s">
        <v>12</v>
      </c>
      <c r="E310" s="6" t="s">
        <v>21</v>
      </c>
      <c r="F310" s="10">
        <v>2</v>
      </c>
      <c r="G310" s="10">
        <v>190</v>
      </c>
      <c r="H310" s="10">
        <f t="shared" si="5"/>
        <v>380</v>
      </c>
    </row>
    <row r="311" spans="1:8" x14ac:dyDescent="0.25">
      <c r="A311" s="4">
        <v>310</v>
      </c>
      <c r="B311" s="5">
        <v>44506</v>
      </c>
      <c r="C311" s="6" t="s">
        <v>11</v>
      </c>
      <c r="D311" s="6" t="s">
        <v>9</v>
      </c>
      <c r="E311" s="6" t="s">
        <v>21</v>
      </c>
      <c r="F311" s="10">
        <v>2</v>
      </c>
      <c r="G311" s="10">
        <v>190</v>
      </c>
      <c r="H311" s="10">
        <f t="shared" si="5"/>
        <v>380</v>
      </c>
    </row>
    <row r="312" spans="1:8" x14ac:dyDescent="0.25">
      <c r="A312" s="4">
        <v>311</v>
      </c>
      <c r="B312" s="5">
        <v>44507</v>
      </c>
      <c r="C312" s="6" t="s">
        <v>11</v>
      </c>
      <c r="D312" s="6" t="s">
        <v>22</v>
      </c>
      <c r="E312" s="6" t="s">
        <v>21</v>
      </c>
      <c r="F312" s="10">
        <v>2</v>
      </c>
      <c r="G312" s="10">
        <v>190</v>
      </c>
      <c r="H312" s="10">
        <f t="shared" si="5"/>
        <v>380</v>
      </c>
    </row>
    <row r="313" spans="1:8" x14ac:dyDescent="0.25">
      <c r="A313" s="4">
        <v>312</v>
      </c>
      <c r="B313" s="5">
        <v>44508</v>
      </c>
      <c r="C313" s="6" t="s">
        <v>11</v>
      </c>
      <c r="D313" s="6" t="s">
        <v>23</v>
      </c>
      <c r="E313" s="6" t="s">
        <v>21</v>
      </c>
      <c r="F313" s="10">
        <v>2</v>
      </c>
      <c r="G313" s="10">
        <v>190</v>
      </c>
      <c r="H313" s="10">
        <f t="shared" si="5"/>
        <v>380</v>
      </c>
    </row>
    <row r="314" spans="1:8" x14ac:dyDescent="0.25">
      <c r="A314" s="4">
        <v>313</v>
      </c>
      <c r="B314" s="5">
        <v>44509</v>
      </c>
      <c r="C314" s="6" t="s">
        <v>14</v>
      </c>
      <c r="D314" s="6" t="s">
        <v>23</v>
      </c>
      <c r="E314" s="6" t="s">
        <v>21</v>
      </c>
      <c r="F314" s="10">
        <v>2</v>
      </c>
      <c r="G314" s="10">
        <v>190</v>
      </c>
      <c r="H314" s="10">
        <f t="shared" si="5"/>
        <v>380</v>
      </c>
    </row>
    <row r="315" spans="1:8" x14ac:dyDescent="0.25">
      <c r="A315" s="4">
        <v>314</v>
      </c>
      <c r="B315" s="5">
        <v>44510</v>
      </c>
      <c r="C315" s="6" t="s">
        <v>16</v>
      </c>
      <c r="D315" s="6" t="s">
        <v>23</v>
      </c>
      <c r="E315" s="6" t="s">
        <v>21</v>
      </c>
      <c r="F315" s="10">
        <v>2</v>
      </c>
      <c r="G315" s="10">
        <v>190</v>
      </c>
      <c r="H315" s="10">
        <f t="shared" si="5"/>
        <v>380</v>
      </c>
    </row>
    <row r="316" spans="1:8" x14ac:dyDescent="0.25">
      <c r="A316" s="4">
        <v>315</v>
      </c>
      <c r="B316" s="5">
        <v>44511</v>
      </c>
      <c r="C316" s="6" t="s">
        <v>18</v>
      </c>
      <c r="D316" s="6" t="s">
        <v>23</v>
      </c>
      <c r="E316" s="6" t="s">
        <v>21</v>
      </c>
      <c r="F316" s="10">
        <v>2</v>
      </c>
      <c r="G316" s="10">
        <v>190</v>
      </c>
      <c r="H316" s="10">
        <f t="shared" si="5"/>
        <v>380</v>
      </c>
    </row>
    <row r="317" spans="1:8" x14ac:dyDescent="0.25">
      <c r="A317" s="4">
        <v>316</v>
      </c>
      <c r="B317" s="5">
        <v>44512</v>
      </c>
      <c r="C317" s="6" t="s">
        <v>20</v>
      </c>
      <c r="D317" s="6" t="s">
        <v>23</v>
      </c>
      <c r="E317" s="6" t="s">
        <v>21</v>
      </c>
      <c r="F317" s="10">
        <v>2</v>
      </c>
      <c r="G317" s="10">
        <v>190</v>
      </c>
      <c r="H317" s="10">
        <f t="shared" si="5"/>
        <v>380</v>
      </c>
    </row>
    <row r="318" spans="1:8" x14ac:dyDescent="0.25">
      <c r="A318" s="4">
        <v>317</v>
      </c>
      <c r="B318" s="5">
        <v>44513</v>
      </c>
      <c r="C318" s="6" t="s">
        <v>20</v>
      </c>
      <c r="D318" s="6" t="s">
        <v>9</v>
      </c>
      <c r="E318" s="6" t="s">
        <v>21</v>
      </c>
      <c r="F318" s="10">
        <v>2</v>
      </c>
      <c r="G318" s="10">
        <v>190</v>
      </c>
      <c r="H318" s="10">
        <f t="shared" si="5"/>
        <v>380</v>
      </c>
    </row>
    <row r="319" spans="1:8" x14ac:dyDescent="0.25">
      <c r="A319" s="4">
        <v>318</v>
      </c>
      <c r="B319" s="5">
        <v>44514</v>
      </c>
      <c r="C319" s="6" t="s">
        <v>20</v>
      </c>
      <c r="D319" s="6" t="s">
        <v>12</v>
      </c>
      <c r="E319" s="6" t="s">
        <v>21</v>
      </c>
      <c r="F319" s="10">
        <v>3</v>
      </c>
      <c r="G319" s="10">
        <v>190</v>
      </c>
      <c r="H319" s="10">
        <f t="shared" si="5"/>
        <v>570</v>
      </c>
    </row>
    <row r="320" spans="1:8" x14ac:dyDescent="0.25">
      <c r="A320" s="4">
        <v>319</v>
      </c>
      <c r="B320" s="5">
        <v>44515</v>
      </c>
      <c r="C320" s="6" t="s">
        <v>20</v>
      </c>
      <c r="D320" s="6" t="s">
        <v>22</v>
      </c>
      <c r="E320" s="6" t="s">
        <v>10</v>
      </c>
      <c r="F320" s="10">
        <v>2</v>
      </c>
      <c r="G320" s="10">
        <v>210</v>
      </c>
      <c r="H320" s="10">
        <f t="shared" si="5"/>
        <v>420</v>
      </c>
    </row>
    <row r="321" spans="1:8" x14ac:dyDescent="0.25">
      <c r="A321" s="4">
        <v>320</v>
      </c>
      <c r="B321" s="5">
        <v>44516</v>
      </c>
      <c r="C321" s="6" t="s">
        <v>20</v>
      </c>
      <c r="D321" s="6" t="s">
        <v>23</v>
      </c>
      <c r="E321" s="6" t="s">
        <v>10</v>
      </c>
      <c r="F321" s="10">
        <v>2</v>
      </c>
      <c r="G321" s="10">
        <v>210</v>
      </c>
      <c r="H321" s="10">
        <f t="shared" si="5"/>
        <v>420</v>
      </c>
    </row>
    <row r="322" spans="1:8" x14ac:dyDescent="0.25">
      <c r="A322" s="4">
        <v>321</v>
      </c>
      <c r="B322" s="5">
        <v>44517</v>
      </c>
      <c r="C322" s="6" t="s">
        <v>20</v>
      </c>
      <c r="D322" s="6" t="s">
        <v>9</v>
      </c>
      <c r="E322" s="6" t="s">
        <v>10</v>
      </c>
      <c r="F322" s="10">
        <v>2</v>
      </c>
      <c r="G322" s="10">
        <v>210</v>
      </c>
      <c r="H322" s="10">
        <f t="shared" si="5"/>
        <v>420</v>
      </c>
    </row>
    <row r="323" spans="1:8" x14ac:dyDescent="0.25">
      <c r="A323" s="4">
        <v>322</v>
      </c>
      <c r="B323" s="5">
        <v>44518</v>
      </c>
      <c r="C323" s="6" t="s">
        <v>20</v>
      </c>
      <c r="D323" s="6" t="s">
        <v>12</v>
      </c>
      <c r="E323" s="6" t="s">
        <v>10</v>
      </c>
      <c r="F323" s="10">
        <v>2</v>
      </c>
      <c r="G323" s="10">
        <v>210</v>
      </c>
      <c r="H323" s="10">
        <f t="shared" ref="H323:H367" si="6">F323*G323</f>
        <v>420</v>
      </c>
    </row>
    <row r="324" spans="1:8" x14ac:dyDescent="0.25">
      <c r="A324" s="4">
        <v>323</v>
      </c>
      <c r="B324" s="5">
        <v>44519</v>
      </c>
      <c r="C324" s="6" t="s">
        <v>20</v>
      </c>
      <c r="D324" s="6" t="s">
        <v>22</v>
      </c>
      <c r="E324" s="6" t="s">
        <v>10</v>
      </c>
      <c r="F324" s="10">
        <v>2</v>
      </c>
      <c r="G324" s="10">
        <v>210</v>
      </c>
      <c r="H324" s="10">
        <f t="shared" si="6"/>
        <v>420</v>
      </c>
    </row>
    <row r="325" spans="1:8" x14ac:dyDescent="0.25">
      <c r="A325" s="4">
        <v>324</v>
      </c>
      <c r="B325" s="5">
        <v>44520</v>
      </c>
      <c r="C325" s="6" t="s">
        <v>20</v>
      </c>
      <c r="D325" s="6" t="s">
        <v>23</v>
      </c>
      <c r="E325" s="6" t="s">
        <v>10</v>
      </c>
      <c r="F325" s="10">
        <v>2</v>
      </c>
      <c r="G325" s="10">
        <v>210</v>
      </c>
      <c r="H325" s="10">
        <f t="shared" si="6"/>
        <v>420</v>
      </c>
    </row>
    <row r="326" spans="1:8" x14ac:dyDescent="0.25">
      <c r="A326" s="4">
        <v>325</v>
      </c>
      <c r="B326" s="5">
        <v>44521</v>
      </c>
      <c r="C326" s="6" t="s">
        <v>8</v>
      </c>
      <c r="D326" s="6" t="s">
        <v>9</v>
      </c>
      <c r="E326" s="6" t="s">
        <v>10</v>
      </c>
      <c r="F326" s="10">
        <v>2</v>
      </c>
      <c r="G326" s="10">
        <v>210</v>
      </c>
      <c r="H326" s="10">
        <f t="shared" si="6"/>
        <v>420</v>
      </c>
    </row>
    <row r="327" spans="1:8" x14ac:dyDescent="0.25">
      <c r="A327" s="4">
        <v>326</v>
      </c>
      <c r="B327" s="5">
        <v>44522</v>
      </c>
      <c r="C327" s="6" t="s">
        <v>11</v>
      </c>
      <c r="D327" s="6" t="s">
        <v>12</v>
      </c>
      <c r="E327" s="6" t="s">
        <v>10</v>
      </c>
      <c r="F327" s="10">
        <v>2</v>
      </c>
      <c r="G327" s="10">
        <v>210</v>
      </c>
      <c r="H327" s="10">
        <f t="shared" si="6"/>
        <v>420</v>
      </c>
    </row>
    <row r="328" spans="1:8" x14ac:dyDescent="0.25">
      <c r="A328" s="4">
        <v>327</v>
      </c>
      <c r="B328" s="5">
        <v>44523</v>
      </c>
      <c r="C328" s="6" t="s">
        <v>14</v>
      </c>
      <c r="D328" s="6" t="s">
        <v>9</v>
      </c>
      <c r="E328" s="6" t="s">
        <v>10</v>
      </c>
      <c r="F328" s="10">
        <v>2</v>
      </c>
      <c r="G328" s="10">
        <v>210</v>
      </c>
      <c r="H328" s="10">
        <f t="shared" si="6"/>
        <v>420</v>
      </c>
    </row>
    <row r="329" spans="1:8" x14ac:dyDescent="0.25">
      <c r="A329" s="4">
        <v>328</v>
      </c>
      <c r="B329" s="5">
        <v>44524</v>
      </c>
      <c r="C329" s="6" t="s">
        <v>16</v>
      </c>
      <c r="D329" s="6" t="s">
        <v>12</v>
      </c>
      <c r="E329" s="6" t="s">
        <v>10</v>
      </c>
      <c r="F329" s="10">
        <v>2</v>
      </c>
      <c r="G329" s="10">
        <v>210</v>
      </c>
      <c r="H329" s="10">
        <f t="shared" si="6"/>
        <v>420</v>
      </c>
    </row>
    <row r="330" spans="1:8" x14ac:dyDescent="0.25">
      <c r="A330" s="4">
        <v>329</v>
      </c>
      <c r="B330" s="5">
        <v>44525</v>
      </c>
      <c r="C330" s="6" t="s">
        <v>18</v>
      </c>
      <c r="D330" s="6" t="s">
        <v>9</v>
      </c>
      <c r="E330" s="6" t="s">
        <v>10</v>
      </c>
      <c r="F330" s="10">
        <v>2</v>
      </c>
      <c r="G330" s="10">
        <v>210</v>
      </c>
      <c r="H330" s="10">
        <f t="shared" si="6"/>
        <v>420</v>
      </c>
    </row>
    <row r="331" spans="1:8" x14ac:dyDescent="0.25">
      <c r="A331" s="4">
        <v>330</v>
      </c>
      <c r="B331" s="5">
        <v>44526</v>
      </c>
      <c r="C331" s="6" t="s">
        <v>20</v>
      </c>
      <c r="D331" s="6" t="s">
        <v>9</v>
      </c>
      <c r="E331" s="6" t="s">
        <v>10</v>
      </c>
      <c r="F331" s="10">
        <v>2</v>
      </c>
      <c r="G331" s="10">
        <v>210</v>
      </c>
      <c r="H331" s="10">
        <f t="shared" si="6"/>
        <v>420</v>
      </c>
    </row>
    <row r="332" spans="1:8" x14ac:dyDescent="0.25">
      <c r="A332" s="4">
        <v>331</v>
      </c>
      <c r="B332" s="5">
        <v>44527</v>
      </c>
      <c r="C332" s="6" t="s">
        <v>8</v>
      </c>
      <c r="D332" s="6" t="s">
        <v>9</v>
      </c>
      <c r="E332" s="6" t="s">
        <v>21</v>
      </c>
      <c r="F332" s="10">
        <v>2</v>
      </c>
      <c r="G332" s="10">
        <v>190</v>
      </c>
      <c r="H332" s="10">
        <f t="shared" si="6"/>
        <v>380</v>
      </c>
    </row>
    <row r="333" spans="1:8" x14ac:dyDescent="0.25">
      <c r="A333" s="4">
        <v>332</v>
      </c>
      <c r="B333" s="5">
        <v>44528</v>
      </c>
      <c r="C333" s="6" t="s">
        <v>11</v>
      </c>
      <c r="D333" s="6" t="s">
        <v>12</v>
      </c>
      <c r="E333" s="6" t="s">
        <v>10</v>
      </c>
      <c r="F333" s="10">
        <v>7</v>
      </c>
      <c r="G333" s="10">
        <v>210</v>
      </c>
      <c r="H333" s="10">
        <f t="shared" si="6"/>
        <v>1470</v>
      </c>
    </row>
    <row r="334" spans="1:8" x14ac:dyDescent="0.25">
      <c r="A334" s="4">
        <v>333</v>
      </c>
      <c r="B334" s="5">
        <v>44529</v>
      </c>
      <c r="C334" s="6" t="s">
        <v>14</v>
      </c>
      <c r="D334" s="6" t="s">
        <v>12</v>
      </c>
      <c r="E334" s="6" t="s">
        <v>13</v>
      </c>
      <c r="F334" s="10">
        <v>6</v>
      </c>
      <c r="G334" s="10">
        <v>2100</v>
      </c>
      <c r="H334" s="10">
        <f t="shared" si="6"/>
        <v>12600</v>
      </c>
    </row>
    <row r="335" spans="1:8" x14ac:dyDescent="0.25">
      <c r="A335" s="4">
        <v>334</v>
      </c>
      <c r="B335" s="5">
        <v>44530</v>
      </c>
      <c r="C335" s="6" t="s">
        <v>16</v>
      </c>
      <c r="D335" s="6" t="s">
        <v>9</v>
      </c>
      <c r="E335" s="6" t="s">
        <v>15</v>
      </c>
      <c r="F335" s="10">
        <v>5</v>
      </c>
      <c r="G335" s="10">
        <v>1200</v>
      </c>
      <c r="H335" s="10">
        <f t="shared" si="6"/>
        <v>6000</v>
      </c>
    </row>
    <row r="336" spans="1:8" x14ac:dyDescent="0.25">
      <c r="A336" s="4">
        <v>335</v>
      </c>
      <c r="B336" s="5">
        <v>44531</v>
      </c>
      <c r="C336" s="6" t="s">
        <v>18</v>
      </c>
      <c r="D336" s="6" t="s">
        <v>9</v>
      </c>
      <c r="E336" s="6" t="s">
        <v>17</v>
      </c>
      <c r="F336" s="10">
        <v>4</v>
      </c>
      <c r="G336" s="10">
        <v>1500</v>
      </c>
      <c r="H336" s="10">
        <f t="shared" si="6"/>
        <v>6000</v>
      </c>
    </row>
    <row r="337" spans="1:8" x14ac:dyDescent="0.25">
      <c r="A337" s="4">
        <v>336</v>
      </c>
      <c r="B337" s="5">
        <v>44532</v>
      </c>
      <c r="C337" s="6" t="s">
        <v>20</v>
      </c>
      <c r="D337" s="6" t="s">
        <v>12</v>
      </c>
      <c r="E337" s="6" t="s">
        <v>17</v>
      </c>
      <c r="F337" s="10">
        <v>4</v>
      </c>
      <c r="G337" s="10">
        <v>1500</v>
      </c>
      <c r="H337" s="10">
        <f t="shared" si="6"/>
        <v>6000</v>
      </c>
    </row>
    <row r="338" spans="1:8" x14ac:dyDescent="0.25">
      <c r="A338" s="4">
        <v>337</v>
      </c>
      <c r="B338" s="5">
        <v>44533</v>
      </c>
      <c r="C338" s="6" t="s">
        <v>20</v>
      </c>
      <c r="D338" s="6" t="s">
        <v>9</v>
      </c>
      <c r="E338" s="6" t="s">
        <v>17</v>
      </c>
      <c r="F338" s="10">
        <v>4</v>
      </c>
      <c r="G338" s="10">
        <v>1500</v>
      </c>
      <c r="H338" s="10">
        <f t="shared" si="6"/>
        <v>6000</v>
      </c>
    </row>
    <row r="339" spans="1:8" x14ac:dyDescent="0.25">
      <c r="A339" s="4">
        <v>338</v>
      </c>
      <c r="B339" s="5">
        <v>44534</v>
      </c>
      <c r="C339" s="6" t="s">
        <v>8</v>
      </c>
      <c r="D339" s="6" t="s">
        <v>9</v>
      </c>
      <c r="E339" s="6" t="s">
        <v>17</v>
      </c>
      <c r="F339" s="10">
        <v>4</v>
      </c>
      <c r="G339" s="10">
        <v>1500</v>
      </c>
      <c r="H339" s="10">
        <f t="shared" si="6"/>
        <v>6000</v>
      </c>
    </row>
    <row r="340" spans="1:8" x14ac:dyDescent="0.25">
      <c r="A340" s="4">
        <v>339</v>
      </c>
      <c r="B340" s="5">
        <v>44535</v>
      </c>
      <c r="C340" s="6" t="s">
        <v>11</v>
      </c>
      <c r="D340" s="6" t="s">
        <v>9</v>
      </c>
      <c r="E340" s="6" t="s">
        <v>17</v>
      </c>
      <c r="F340" s="10">
        <v>4</v>
      </c>
      <c r="G340" s="10">
        <v>1500</v>
      </c>
      <c r="H340" s="10">
        <f t="shared" si="6"/>
        <v>6000</v>
      </c>
    </row>
    <row r="341" spans="1:8" x14ac:dyDescent="0.25">
      <c r="A341" s="4">
        <v>340</v>
      </c>
      <c r="B341" s="5">
        <v>44536</v>
      </c>
      <c r="C341" s="6" t="s">
        <v>14</v>
      </c>
      <c r="D341" s="6" t="s">
        <v>9</v>
      </c>
      <c r="E341" s="6" t="s">
        <v>17</v>
      </c>
      <c r="F341" s="10">
        <v>4</v>
      </c>
      <c r="G341" s="10">
        <v>1500</v>
      </c>
      <c r="H341" s="10">
        <f t="shared" si="6"/>
        <v>6000</v>
      </c>
    </row>
    <row r="342" spans="1:8" x14ac:dyDescent="0.25">
      <c r="A342" s="4">
        <v>341</v>
      </c>
      <c r="B342" s="5">
        <v>44537</v>
      </c>
      <c r="C342" s="6" t="s">
        <v>16</v>
      </c>
      <c r="D342" s="6" t="s">
        <v>9</v>
      </c>
      <c r="E342" s="6" t="s">
        <v>17</v>
      </c>
      <c r="F342" s="10">
        <v>4</v>
      </c>
      <c r="G342" s="10">
        <v>1500</v>
      </c>
      <c r="H342" s="10">
        <f t="shared" si="6"/>
        <v>6000</v>
      </c>
    </row>
    <row r="343" spans="1:8" x14ac:dyDescent="0.25">
      <c r="A343" s="4">
        <v>342</v>
      </c>
      <c r="B343" s="5">
        <v>44538</v>
      </c>
      <c r="C343" s="6" t="s">
        <v>18</v>
      </c>
      <c r="D343" s="6" t="s">
        <v>9</v>
      </c>
      <c r="E343" s="6" t="s">
        <v>17</v>
      </c>
      <c r="F343" s="10">
        <v>4</v>
      </c>
      <c r="G343" s="10">
        <v>1500</v>
      </c>
      <c r="H343" s="10">
        <f t="shared" si="6"/>
        <v>6000</v>
      </c>
    </row>
    <row r="344" spans="1:8" x14ac:dyDescent="0.25">
      <c r="A344" s="4">
        <v>343</v>
      </c>
      <c r="B344" s="5">
        <v>44539</v>
      </c>
      <c r="C344" s="6" t="s">
        <v>20</v>
      </c>
      <c r="D344" s="6" t="s">
        <v>9</v>
      </c>
      <c r="E344" s="6" t="s">
        <v>17</v>
      </c>
      <c r="F344" s="10">
        <v>4</v>
      </c>
      <c r="G344" s="10">
        <v>1500</v>
      </c>
      <c r="H344" s="10">
        <f t="shared" si="6"/>
        <v>6000</v>
      </c>
    </row>
    <row r="345" spans="1:8" x14ac:dyDescent="0.25">
      <c r="A345" s="4">
        <v>344</v>
      </c>
      <c r="B345" s="5">
        <v>44540</v>
      </c>
      <c r="C345" s="6" t="s">
        <v>8</v>
      </c>
      <c r="D345" s="6" t="s">
        <v>9</v>
      </c>
      <c r="E345" s="6" t="s">
        <v>10</v>
      </c>
      <c r="F345" s="10">
        <v>2</v>
      </c>
      <c r="G345" s="10">
        <v>210</v>
      </c>
      <c r="H345" s="10">
        <f t="shared" si="6"/>
        <v>420</v>
      </c>
    </row>
    <row r="346" spans="1:8" x14ac:dyDescent="0.25">
      <c r="A346" s="4">
        <v>345</v>
      </c>
      <c r="B346" s="5">
        <v>44541</v>
      </c>
      <c r="C346" s="6" t="s">
        <v>11</v>
      </c>
      <c r="D346" s="6" t="s">
        <v>12</v>
      </c>
      <c r="E346" s="6" t="s">
        <v>15</v>
      </c>
      <c r="F346" s="10">
        <v>7</v>
      </c>
      <c r="G346" s="10">
        <v>2100</v>
      </c>
      <c r="H346" s="10">
        <f t="shared" si="6"/>
        <v>14700</v>
      </c>
    </row>
    <row r="347" spans="1:8" x14ac:dyDescent="0.25">
      <c r="A347" s="4">
        <v>346</v>
      </c>
      <c r="B347" s="5">
        <v>44542</v>
      </c>
      <c r="C347" s="6" t="s">
        <v>14</v>
      </c>
      <c r="D347" s="6" t="s">
        <v>9</v>
      </c>
      <c r="E347" s="6" t="s">
        <v>17</v>
      </c>
      <c r="F347" s="10">
        <v>6</v>
      </c>
      <c r="G347" s="10">
        <v>1200</v>
      </c>
      <c r="H347" s="10">
        <f t="shared" si="6"/>
        <v>7200</v>
      </c>
    </row>
    <row r="348" spans="1:8" x14ac:dyDescent="0.25">
      <c r="A348" s="4">
        <v>347</v>
      </c>
      <c r="B348" s="5">
        <v>44543</v>
      </c>
      <c r="C348" s="6" t="s">
        <v>16</v>
      </c>
      <c r="D348" s="6" t="s">
        <v>12</v>
      </c>
      <c r="E348" s="6" t="s">
        <v>19</v>
      </c>
      <c r="F348" s="10">
        <v>5</v>
      </c>
      <c r="G348" s="10">
        <v>300</v>
      </c>
      <c r="H348" s="10">
        <f t="shared" si="6"/>
        <v>1500</v>
      </c>
    </row>
    <row r="349" spans="1:8" x14ac:dyDescent="0.25">
      <c r="A349" s="4">
        <v>348</v>
      </c>
      <c r="B349" s="5">
        <v>44544</v>
      </c>
      <c r="C349" s="6" t="s">
        <v>18</v>
      </c>
      <c r="D349" s="6" t="s">
        <v>9</v>
      </c>
      <c r="E349" s="6" t="s">
        <v>21</v>
      </c>
      <c r="F349" s="10">
        <v>4</v>
      </c>
      <c r="G349" s="10">
        <v>200</v>
      </c>
      <c r="H349" s="10">
        <f t="shared" si="6"/>
        <v>800</v>
      </c>
    </row>
    <row r="350" spans="1:8" x14ac:dyDescent="0.25">
      <c r="A350" s="4">
        <v>349</v>
      </c>
      <c r="B350" s="5">
        <v>44545</v>
      </c>
      <c r="C350" s="6" t="s">
        <v>20</v>
      </c>
      <c r="D350" s="6" t="s">
        <v>9</v>
      </c>
      <c r="E350" s="6" t="s">
        <v>10</v>
      </c>
      <c r="F350" s="10">
        <v>3</v>
      </c>
      <c r="G350" s="10">
        <v>190</v>
      </c>
      <c r="H350" s="10">
        <f t="shared" si="6"/>
        <v>570</v>
      </c>
    </row>
    <row r="351" spans="1:8" x14ac:dyDescent="0.25">
      <c r="A351" s="4">
        <v>350</v>
      </c>
      <c r="B351" s="5">
        <v>44546</v>
      </c>
      <c r="C351" s="6" t="s">
        <v>20</v>
      </c>
      <c r="D351" s="6" t="s">
        <v>9</v>
      </c>
      <c r="E351" s="6" t="s">
        <v>13</v>
      </c>
      <c r="F351" s="10">
        <v>2</v>
      </c>
      <c r="G351" s="10">
        <v>2100</v>
      </c>
      <c r="H351" s="10">
        <f t="shared" si="6"/>
        <v>4200</v>
      </c>
    </row>
    <row r="352" spans="1:8" x14ac:dyDescent="0.25">
      <c r="A352" s="4">
        <v>351</v>
      </c>
      <c r="B352" s="5">
        <v>44547</v>
      </c>
      <c r="C352" s="6" t="s">
        <v>8</v>
      </c>
      <c r="D352" s="6" t="s">
        <v>9</v>
      </c>
      <c r="E352" s="6" t="s">
        <v>10</v>
      </c>
      <c r="F352" s="10">
        <v>7</v>
      </c>
      <c r="G352" s="10">
        <v>210</v>
      </c>
      <c r="H352" s="10">
        <f t="shared" si="6"/>
        <v>1470</v>
      </c>
    </row>
    <row r="353" spans="1:8" x14ac:dyDescent="0.25">
      <c r="A353" s="4">
        <v>352</v>
      </c>
      <c r="B353" s="5">
        <v>44548</v>
      </c>
      <c r="C353" s="6" t="s">
        <v>8</v>
      </c>
      <c r="D353" s="6" t="s">
        <v>12</v>
      </c>
      <c r="E353" s="6" t="s">
        <v>13</v>
      </c>
      <c r="F353" s="10">
        <v>6</v>
      </c>
      <c r="G353" s="10">
        <v>2100</v>
      </c>
      <c r="H353" s="10">
        <f t="shared" si="6"/>
        <v>12600</v>
      </c>
    </row>
    <row r="354" spans="1:8" x14ac:dyDescent="0.25">
      <c r="A354" s="4">
        <v>353</v>
      </c>
      <c r="B354" s="5">
        <v>44549</v>
      </c>
      <c r="C354" s="6" t="s">
        <v>8</v>
      </c>
      <c r="D354" s="6" t="s">
        <v>22</v>
      </c>
      <c r="E354" s="6" t="s">
        <v>15</v>
      </c>
      <c r="F354" s="10">
        <v>5</v>
      </c>
      <c r="G354" s="10">
        <v>1200</v>
      </c>
      <c r="H354" s="10">
        <f t="shared" si="6"/>
        <v>6000</v>
      </c>
    </row>
    <row r="355" spans="1:8" x14ac:dyDescent="0.25">
      <c r="A355" s="4">
        <v>354</v>
      </c>
      <c r="B355" s="5">
        <v>44550</v>
      </c>
      <c r="C355" s="6" t="s">
        <v>8</v>
      </c>
      <c r="D355" s="6" t="s">
        <v>23</v>
      </c>
      <c r="E355" s="6" t="s">
        <v>17</v>
      </c>
      <c r="F355" s="10">
        <v>4</v>
      </c>
      <c r="G355" s="10">
        <v>1500</v>
      </c>
      <c r="H355" s="10">
        <f t="shared" si="6"/>
        <v>6000</v>
      </c>
    </row>
    <row r="356" spans="1:8" x14ac:dyDescent="0.25">
      <c r="A356" s="4">
        <v>355</v>
      </c>
      <c r="B356" s="5">
        <v>44551</v>
      </c>
      <c r="C356" s="6" t="s">
        <v>8</v>
      </c>
      <c r="D356" s="6" t="s">
        <v>9</v>
      </c>
      <c r="E356" s="6" t="s">
        <v>19</v>
      </c>
      <c r="F356" s="10">
        <v>3</v>
      </c>
      <c r="G356" s="10">
        <v>300</v>
      </c>
      <c r="H356" s="10">
        <f t="shared" si="6"/>
        <v>900</v>
      </c>
    </row>
    <row r="357" spans="1:8" x14ac:dyDescent="0.25">
      <c r="A357" s="4">
        <v>356</v>
      </c>
      <c r="B357" s="5">
        <v>44552</v>
      </c>
      <c r="C357" s="6" t="s">
        <v>8</v>
      </c>
      <c r="D357" s="6" t="s">
        <v>12</v>
      </c>
      <c r="E357" s="6" t="s">
        <v>21</v>
      </c>
      <c r="F357" s="10">
        <v>2</v>
      </c>
      <c r="G357" s="10">
        <v>190</v>
      </c>
      <c r="H357" s="10">
        <f t="shared" si="6"/>
        <v>380</v>
      </c>
    </row>
    <row r="358" spans="1:8" x14ac:dyDescent="0.25">
      <c r="A358" s="4">
        <v>357</v>
      </c>
      <c r="B358" s="5">
        <v>44553</v>
      </c>
      <c r="C358" s="6" t="s">
        <v>8</v>
      </c>
      <c r="D358" s="6" t="s">
        <v>22</v>
      </c>
      <c r="E358" s="6" t="s">
        <v>10</v>
      </c>
      <c r="F358" s="10">
        <v>7</v>
      </c>
      <c r="G358" s="10">
        <v>210</v>
      </c>
      <c r="H358" s="10">
        <f t="shared" si="6"/>
        <v>1470</v>
      </c>
    </row>
    <row r="359" spans="1:8" x14ac:dyDescent="0.25">
      <c r="A359" s="4">
        <v>358</v>
      </c>
      <c r="B359" s="5">
        <v>44554</v>
      </c>
      <c r="C359" s="6" t="s">
        <v>8</v>
      </c>
      <c r="D359" s="6" t="s">
        <v>23</v>
      </c>
      <c r="E359" s="6" t="s">
        <v>13</v>
      </c>
      <c r="F359" s="10">
        <v>6</v>
      </c>
      <c r="G359" s="10">
        <v>2100</v>
      </c>
      <c r="H359" s="10">
        <f t="shared" si="6"/>
        <v>12600</v>
      </c>
    </row>
    <row r="360" spans="1:8" x14ac:dyDescent="0.25">
      <c r="A360" s="4">
        <v>359</v>
      </c>
      <c r="B360" s="5">
        <v>44555</v>
      </c>
      <c r="C360" s="6" t="s">
        <v>11</v>
      </c>
      <c r="D360" s="6" t="s">
        <v>12</v>
      </c>
      <c r="E360" s="6" t="s">
        <v>13</v>
      </c>
      <c r="F360" s="10">
        <v>6</v>
      </c>
      <c r="G360" s="10">
        <v>2100</v>
      </c>
      <c r="H360" s="10">
        <f t="shared" si="6"/>
        <v>12600</v>
      </c>
    </row>
    <row r="361" spans="1:8" x14ac:dyDescent="0.25">
      <c r="A361" s="4">
        <v>360</v>
      </c>
      <c r="B361" s="5">
        <v>44556</v>
      </c>
      <c r="C361" s="6" t="s">
        <v>11</v>
      </c>
      <c r="D361" s="6" t="s">
        <v>9</v>
      </c>
      <c r="E361" s="6" t="s">
        <v>13</v>
      </c>
      <c r="F361" s="10">
        <v>6</v>
      </c>
      <c r="G361" s="10">
        <v>2100</v>
      </c>
      <c r="H361" s="10">
        <f t="shared" si="6"/>
        <v>12600</v>
      </c>
    </row>
    <row r="362" spans="1:8" x14ac:dyDescent="0.25">
      <c r="A362" s="4">
        <v>361</v>
      </c>
      <c r="B362" s="5">
        <v>44557</v>
      </c>
      <c r="C362" s="6" t="s">
        <v>11</v>
      </c>
      <c r="D362" s="6" t="s">
        <v>22</v>
      </c>
      <c r="E362" s="6" t="s">
        <v>13</v>
      </c>
      <c r="F362" s="10">
        <v>6</v>
      </c>
      <c r="G362" s="10">
        <v>2100</v>
      </c>
      <c r="H362" s="10">
        <f t="shared" si="6"/>
        <v>12600</v>
      </c>
    </row>
    <row r="363" spans="1:8" x14ac:dyDescent="0.25">
      <c r="A363" s="4">
        <v>362</v>
      </c>
      <c r="B363" s="5">
        <v>44558</v>
      </c>
      <c r="C363" s="6" t="s">
        <v>11</v>
      </c>
      <c r="D363" s="6" t="s">
        <v>23</v>
      </c>
      <c r="E363" s="6" t="s">
        <v>13</v>
      </c>
      <c r="F363" s="10">
        <v>6</v>
      </c>
      <c r="G363" s="10">
        <v>2100</v>
      </c>
      <c r="H363" s="10">
        <f t="shared" si="6"/>
        <v>12600</v>
      </c>
    </row>
    <row r="364" spans="1:8" x14ac:dyDescent="0.25">
      <c r="A364" s="4">
        <v>363</v>
      </c>
      <c r="B364" s="5">
        <v>44559</v>
      </c>
      <c r="C364" s="6" t="s">
        <v>11</v>
      </c>
      <c r="D364" s="6" t="s">
        <v>12</v>
      </c>
      <c r="E364" s="6" t="s">
        <v>13</v>
      </c>
      <c r="F364" s="10">
        <v>6</v>
      </c>
      <c r="G364" s="10">
        <v>2100</v>
      </c>
      <c r="H364" s="10">
        <f t="shared" si="6"/>
        <v>12600</v>
      </c>
    </row>
    <row r="365" spans="1:8" x14ac:dyDescent="0.25">
      <c r="A365" s="4">
        <v>364</v>
      </c>
      <c r="B365" s="5">
        <v>44560</v>
      </c>
      <c r="C365" s="6" t="s">
        <v>11</v>
      </c>
      <c r="D365" s="6" t="s">
        <v>9</v>
      </c>
      <c r="E365" s="6" t="s">
        <v>13</v>
      </c>
      <c r="F365" s="10">
        <v>6</v>
      </c>
      <c r="G365" s="10">
        <v>2100</v>
      </c>
      <c r="H365" s="10">
        <f t="shared" si="6"/>
        <v>12600</v>
      </c>
    </row>
    <row r="366" spans="1:8" x14ac:dyDescent="0.25">
      <c r="A366" s="4">
        <v>365</v>
      </c>
      <c r="B366" s="5">
        <v>44561</v>
      </c>
      <c r="C366" s="6" t="s">
        <v>11</v>
      </c>
      <c r="D366" s="6" t="s">
        <v>22</v>
      </c>
      <c r="E366" s="6" t="s">
        <v>15</v>
      </c>
      <c r="F366" s="10">
        <v>6</v>
      </c>
      <c r="G366" s="10">
        <v>1200</v>
      </c>
      <c r="H366" s="10">
        <f t="shared" si="6"/>
        <v>7200</v>
      </c>
    </row>
    <row r="367" spans="1:8" x14ac:dyDescent="0.2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F1B0-72BC-344C-9662-40CEE44938CC}">
  <dimension ref="A1"/>
  <sheetViews>
    <sheetView tabSelected="1" workbookViewId="0"/>
  </sheetViews>
  <sheetFormatPr baseColWidth="10" defaultRowHeight="19" x14ac:dyDescent="0.25"/>
  <sheetData>
    <row r="1" spans="1:1" x14ac:dyDescent="0.25">
      <c r="A1" t="s">
        <v>41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D914-58AD-5444-B7BF-E796A5D62D3A}">
  <dimension ref="A1"/>
  <sheetViews>
    <sheetView workbookViewId="0"/>
  </sheetViews>
  <sheetFormatPr baseColWidth="10" defaultRowHeight="19" x14ac:dyDescent="0.25"/>
  <sheetData>
    <row r="1" spans="1:1" x14ac:dyDescent="0.25">
      <c r="A1" t="s">
        <v>41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46A6-7546-1E4C-A7C3-74B7374D71C8}">
  <dimension ref="A1"/>
  <sheetViews>
    <sheetView workbookViewId="0"/>
  </sheetViews>
  <sheetFormatPr baseColWidth="10" defaultRowHeight="19" x14ac:dyDescent="0.25"/>
  <sheetData>
    <row r="1" spans="1:1" x14ac:dyDescent="0.25">
      <c r="A1" t="s">
        <v>41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95B52-D46A-6B41-B163-A2CAD7F557A7}">
  <dimension ref="A1"/>
  <sheetViews>
    <sheetView workbookViewId="0"/>
  </sheetViews>
  <sheetFormatPr baseColWidth="10" defaultRowHeight="19" x14ac:dyDescent="0.25"/>
  <sheetData>
    <row r="1" spans="1:1" x14ac:dyDescent="0.25">
      <c r="A1" t="s">
        <v>41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baseColWidth="10" defaultColWidth="8.7109375" defaultRowHeight="19" x14ac:dyDescent="0.25"/>
  <cols>
    <col min="1" max="1" width="12.5703125" bestFit="1" customWidth="1"/>
    <col min="2" max="2" width="14.140625" bestFit="1" customWidth="1"/>
  </cols>
  <sheetData>
    <row r="2" spans="1:3" x14ac:dyDescent="0.25">
      <c r="A2" s="7" t="s">
        <v>24</v>
      </c>
      <c r="B2" t="s">
        <v>33</v>
      </c>
    </row>
    <row r="3" spans="1:3" x14ac:dyDescent="0.25">
      <c r="A3" s="8" t="s">
        <v>40</v>
      </c>
      <c r="B3" s="14">
        <v>104430</v>
      </c>
    </row>
    <row r="4" spans="1:3" x14ac:dyDescent="0.25">
      <c r="A4" s="8" t="s">
        <v>38</v>
      </c>
      <c r="B4" s="14">
        <v>217570</v>
      </c>
    </row>
    <row r="5" spans="1:3" x14ac:dyDescent="0.25">
      <c r="A5" s="8" t="s">
        <v>39</v>
      </c>
      <c r="B5" s="14">
        <v>54900</v>
      </c>
    </row>
    <row r="6" spans="1:3" x14ac:dyDescent="0.25">
      <c r="A6" s="8" t="s">
        <v>26</v>
      </c>
      <c r="B6" s="14">
        <v>137630</v>
      </c>
    </row>
    <row r="7" spans="1:3" x14ac:dyDescent="0.25">
      <c r="A7" s="8" t="s">
        <v>27</v>
      </c>
      <c r="B7" s="14">
        <v>69360</v>
      </c>
    </row>
    <row r="8" spans="1:3" x14ac:dyDescent="0.25">
      <c r="A8" s="8" t="s">
        <v>28</v>
      </c>
      <c r="B8" s="14">
        <v>87330</v>
      </c>
    </row>
    <row r="9" spans="1:3" x14ac:dyDescent="0.25">
      <c r="A9" s="8" t="s">
        <v>29</v>
      </c>
      <c r="B9" s="14">
        <v>92000</v>
      </c>
    </row>
    <row r="10" spans="1:3" x14ac:dyDescent="0.25">
      <c r="A10" s="8" t="s">
        <v>30</v>
      </c>
      <c r="B10" s="14">
        <v>115500</v>
      </c>
    </row>
    <row r="11" spans="1:3" x14ac:dyDescent="0.25">
      <c r="A11" s="8" t="s">
        <v>31</v>
      </c>
      <c r="B11" s="14">
        <v>191070</v>
      </c>
    </row>
    <row r="12" spans="1:3" x14ac:dyDescent="0.25">
      <c r="A12" s="8" t="s">
        <v>32</v>
      </c>
      <c r="B12" s="14">
        <v>126550</v>
      </c>
    </row>
    <row r="13" spans="1:3" x14ac:dyDescent="0.25">
      <c r="A13" s="8" t="s">
        <v>36</v>
      </c>
      <c r="B13" s="14">
        <v>30620</v>
      </c>
    </row>
    <row r="14" spans="1:3" x14ac:dyDescent="0.25">
      <c r="A14" s="8" t="s">
        <v>37</v>
      </c>
      <c r="B14" s="14">
        <v>138010</v>
      </c>
    </row>
    <row r="15" spans="1:3" x14ac:dyDescent="0.25">
      <c r="A15" s="8" t="s">
        <v>25</v>
      </c>
      <c r="B15" s="14">
        <v>1364970</v>
      </c>
      <c r="C15" s="12">
        <f>GETPIVOTDATA("Amount",$A$2)</f>
        <v>1364970</v>
      </c>
    </row>
    <row r="18" spans="1:2" x14ac:dyDescent="0.25">
      <c r="A18" t="s">
        <v>34</v>
      </c>
    </row>
    <row r="19" spans="1:2" x14ac:dyDescent="0.25">
      <c r="A19" s="14">
        <v>252</v>
      </c>
      <c r="B19" s="12">
        <f>GETPIVOTDATA("Amount",$A$18)</f>
        <v>252</v>
      </c>
    </row>
    <row r="22" spans="1:2" x14ac:dyDescent="0.25">
      <c r="A22" s="7" t="s">
        <v>24</v>
      </c>
      <c r="B22" t="s">
        <v>33</v>
      </c>
    </row>
    <row r="23" spans="1:2" x14ac:dyDescent="0.25">
      <c r="A23" s="8" t="s">
        <v>40</v>
      </c>
      <c r="B23" s="14">
        <v>104430</v>
      </c>
    </row>
    <row r="24" spans="1:2" x14ac:dyDescent="0.25">
      <c r="A24" s="8" t="s">
        <v>38</v>
      </c>
      <c r="B24" s="14">
        <v>217570</v>
      </c>
    </row>
    <row r="25" spans="1:2" x14ac:dyDescent="0.25">
      <c r="A25" s="8" t="s">
        <v>39</v>
      </c>
      <c r="B25" s="14">
        <v>54900</v>
      </c>
    </row>
    <row r="26" spans="1:2" x14ac:dyDescent="0.25">
      <c r="A26" s="8" t="s">
        <v>26</v>
      </c>
      <c r="B26" s="14">
        <v>137630</v>
      </c>
    </row>
    <row r="27" spans="1:2" x14ac:dyDescent="0.25">
      <c r="A27" s="8" t="s">
        <v>27</v>
      </c>
      <c r="B27" s="14">
        <v>69360</v>
      </c>
    </row>
    <row r="28" spans="1:2" x14ac:dyDescent="0.25">
      <c r="A28" s="8" t="s">
        <v>28</v>
      </c>
      <c r="B28" s="14">
        <v>87330</v>
      </c>
    </row>
    <row r="29" spans="1:2" x14ac:dyDescent="0.25">
      <c r="A29" s="8" t="s">
        <v>29</v>
      </c>
      <c r="B29" s="14">
        <v>92000</v>
      </c>
    </row>
    <row r="30" spans="1:2" x14ac:dyDescent="0.25">
      <c r="A30" s="8" t="s">
        <v>30</v>
      </c>
      <c r="B30" s="14">
        <v>115500</v>
      </c>
    </row>
    <row r="31" spans="1:2" x14ac:dyDescent="0.25">
      <c r="A31" s="8" t="s">
        <v>31</v>
      </c>
      <c r="B31" s="14">
        <v>191070</v>
      </c>
    </row>
    <row r="32" spans="1:2" x14ac:dyDescent="0.25">
      <c r="A32" s="8" t="s">
        <v>32</v>
      </c>
      <c r="B32" s="14">
        <v>126550</v>
      </c>
    </row>
    <row r="33" spans="1:2" x14ac:dyDescent="0.25">
      <c r="A33" s="8" t="s">
        <v>36</v>
      </c>
      <c r="B33" s="14">
        <v>30620</v>
      </c>
    </row>
    <row r="34" spans="1:2" x14ac:dyDescent="0.25">
      <c r="A34" s="8" t="s">
        <v>37</v>
      </c>
      <c r="B34" s="14">
        <v>138010</v>
      </c>
    </row>
    <row r="35" spans="1:2" x14ac:dyDescent="0.25">
      <c r="A35" s="8" t="s">
        <v>25</v>
      </c>
      <c r="B35" s="14">
        <v>1364970</v>
      </c>
    </row>
    <row r="40" spans="1:2" x14ac:dyDescent="0.25">
      <c r="A40" s="7" t="s">
        <v>24</v>
      </c>
      <c r="B40" t="s">
        <v>33</v>
      </c>
    </row>
    <row r="41" spans="1:2" x14ac:dyDescent="0.25">
      <c r="A41" s="8" t="s">
        <v>9</v>
      </c>
      <c r="B41" s="14">
        <v>547380</v>
      </c>
    </row>
    <row r="42" spans="1:2" x14ac:dyDescent="0.25">
      <c r="A42" s="8" t="s">
        <v>22</v>
      </c>
      <c r="B42" s="14">
        <v>173980</v>
      </c>
    </row>
    <row r="43" spans="1:2" x14ac:dyDescent="0.25">
      <c r="A43" s="8" t="s">
        <v>23</v>
      </c>
      <c r="B43" s="14">
        <v>256280</v>
      </c>
    </row>
    <row r="44" spans="1:2" x14ac:dyDescent="0.25">
      <c r="A44" s="8" t="s">
        <v>12</v>
      </c>
      <c r="B44" s="14">
        <v>387330</v>
      </c>
    </row>
    <row r="45" spans="1:2" x14ac:dyDescent="0.25">
      <c r="A45" s="8" t="s">
        <v>25</v>
      </c>
      <c r="B45" s="14">
        <v>1364970</v>
      </c>
    </row>
    <row r="49" spans="1:2" x14ac:dyDescent="0.25">
      <c r="A49" s="7" t="s">
        <v>24</v>
      </c>
      <c r="B49" t="s">
        <v>35</v>
      </c>
    </row>
    <row r="50" spans="1:2" x14ac:dyDescent="0.25">
      <c r="A50" s="8" t="s">
        <v>21</v>
      </c>
      <c r="B50" s="13">
        <v>0.11508282476024412</v>
      </c>
    </row>
    <row r="51" spans="1:2" x14ac:dyDescent="0.25">
      <c r="A51" s="8" t="s">
        <v>15</v>
      </c>
      <c r="B51" s="13">
        <v>0.21883173496076722</v>
      </c>
    </row>
    <row r="52" spans="1:2" x14ac:dyDescent="0.25">
      <c r="A52" s="8" t="s">
        <v>10</v>
      </c>
      <c r="B52" s="13">
        <v>0.27811682650392328</v>
      </c>
    </row>
    <row r="53" spans="1:2" x14ac:dyDescent="0.25">
      <c r="A53" s="8" t="s">
        <v>13</v>
      </c>
      <c r="B53" s="13">
        <v>0.38796861377506536</v>
      </c>
    </row>
    <row r="54" spans="1:2" x14ac:dyDescent="0.25">
      <c r="A54" s="8" t="s">
        <v>25</v>
      </c>
      <c r="B54" s="13">
        <v>1</v>
      </c>
    </row>
    <row r="61" spans="1:2" x14ac:dyDescent="0.25">
      <c r="A61" s="7" t="s">
        <v>24</v>
      </c>
      <c r="B61" t="s">
        <v>35</v>
      </c>
    </row>
    <row r="62" spans="1:2" x14ac:dyDescent="0.25">
      <c r="A62" s="8" t="s">
        <v>21</v>
      </c>
      <c r="B62" s="14">
        <v>132</v>
      </c>
    </row>
    <row r="63" spans="1:2" x14ac:dyDescent="0.25">
      <c r="A63" s="8" t="s">
        <v>15</v>
      </c>
      <c r="B63" s="14">
        <v>251</v>
      </c>
    </row>
    <row r="64" spans="1:2" x14ac:dyDescent="0.25">
      <c r="A64" s="8" t="s">
        <v>10</v>
      </c>
      <c r="B64" s="14">
        <v>319</v>
      </c>
    </row>
    <row r="65" spans="1:2" x14ac:dyDescent="0.25">
      <c r="A65" s="8" t="s">
        <v>13</v>
      </c>
      <c r="B65" s="14">
        <v>445</v>
      </c>
    </row>
    <row r="66" spans="1:2" x14ac:dyDescent="0.25">
      <c r="A66" s="8" t="s">
        <v>25</v>
      </c>
      <c r="B66" s="14">
        <v>1147</v>
      </c>
    </row>
    <row r="75" spans="1:2" x14ac:dyDescent="0.25">
      <c r="A75" s="7" t="s">
        <v>24</v>
      </c>
      <c r="B75" t="s">
        <v>35</v>
      </c>
    </row>
    <row r="76" spans="1:2" x14ac:dyDescent="0.25">
      <c r="A76" s="8" t="s">
        <v>17</v>
      </c>
      <c r="B76" s="14">
        <v>242</v>
      </c>
    </row>
    <row r="77" spans="1:2" x14ac:dyDescent="0.25">
      <c r="A77" s="8" t="s">
        <v>10</v>
      </c>
      <c r="B77" s="14">
        <v>319</v>
      </c>
    </row>
    <row r="78" spans="1:2" x14ac:dyDescent="0.25">
      <c r="A78" s="8" t="s">
        <v>13</v>
      </c>
      <c r="B78" s="14">
        <v>445</v>
      </c>
    </row>
    <row r="79" spans="1:2" x14ac:dyDescent="0.25">
      <c r="A79" s="8" t="s">
        <v>25</v>
      </c>
      <c r="B79" s="14">
        <v>1006</v>
      </c>
    </row>
    <row r="84" spans="1:2" x14ac:dyDescent="0.25">
      <c r="A84" s="7" t="s">
        <v>24</v>
      </c>
      <c r="B84" t="s">
        <v>35</v>
      </c>
    </row>
    <row r="85" spans="1:2" x14ac:dyDescent="0.25">
      <c r="A85" s="8" t="s">
        <v>10</v>
      </c>
      <c r="B85" s="14">
        <v>319</v>
      </c>
    </row>
    <row r="86" spans="1:2" x14ac:dyDescent="0.25">
      <c r="A86" s="8" t="s">
        <v>25</v>
      </c>
      <c r="B86" s="14">
        <v>319</v>
      </c>
    </row>
    <row r="92" spans="1:2" x14ac:dyDescent="0.25">
      <c r="A92" s="7" t="s">
        <v>24</v>
      </c>
      <c r="B92" t="s">
        <v>33</v>
      </c>
    </row>
    <row r="93" spans="1:2" x14ac:dyDescent="0.25">
      <c r="A93" s="8" t="s">
        <v>8</v>
      </c>
      <c r="B93" s="14">
        <v>287030</v>
      </c>
    </row>
    <row r="94" spans="1:2" x14ac:dyDescent="0.25">
      <c r="A94" s="8" t="s">
        <v>16</v>
      </c>
      <c r="B94" s="14">
        <v>133690</v>
      </c>
    </row>
    <row r="95" spans="1:2" x14ac:dyDescent="0.25">
      <c r="A95" s="8" t="s">
        <v>18</v>
      </c>
      <c r="B95" s="14">
        <v>100400</v>
      </c>
    </row>
    <row r="96" spans="1:2" x14ac:dyDescent="0.25">
      <c r="A96" s="8" t="s">
        <v>14</v>
      </c>
      <c r="B96" s="14">
        <v>97280</v>
      </c>
    </row>
    <row r="97" spans="1:2" x14ac:dyDescent="0.25">
      <c r="A97" s="8" t="s">
        <v>11</v>
      </c>
      <c r="B97" s="14">
        <v>314010</v>
      </c>
    </row>
    <row r="98" spans="1:2" x14ac:dyDescent="0.25">
      <c r="A98" s="8" t="s">
        <v>20</v>
      </c>
      <c r="B98" s="14">
        <v>432560</v>
      </c>
    </row>
    <row r="99" spans="1:2" x14ac:dyDescent="0.25">
      <c r="A99" s="8" t="s">
        <v>25</v>
      </c>
      <c r="B99" s="14">
        <v>1364970</v>
      </c>
    </row>
    <row r="103" spans="1:2" x14ac:dyDescent="0.25">
      <c r="A103" s="7" t="s">
        <v>24</v>
      </c>
      <c r="B103" t="s">
        <v>33</v>
      </c>
    </row>
    <row r="104" spans="1:2" x14ac:dyDescent="0.25">
      <c r="A104" s="8" t="s">
        <v>8</v>
      </c>
      <c r="B104" s="14">
        <v>287030</v>
      </c>
    </row>
    <row r="105" spans="1:2" x14ac:dyDescent="0.25">
      <c r="A105" s="8" t="s">
        <v>11</v>
      </c>
      <c r="B105" s="14">
        <v>314010</v>
      </c>
    </row>
    <row r="106" spans="1:2" x14ac:dyDescent="0.25">
      <c r="A106" s="8" t="s">
        <v>20</v>
      </c>
      <c r="B106" s="14">
        <v>432560</v>
      </c>
    </row>
    <row r="107" spans="1:2" x14ac:dyDescent="0.25">
      <c r="A107" s="8" t="s">
        <v>25</v>
      </c>
      <c r="B107" s="14">
        <v>1033600</v>
      </c>
    </row>
    <row r="111" spans="1:2" x14ac:dyDescent="0.25">
      <c r="A111" s="7" t="s">
        <v>24</v>
      </c>
      <c r="B111" t="s">
        <v>33</v>
      </c>
    </row>
    <row r="112" spans="1:2" x14ac:dyDescent="0.25">
      <c r="A112" s="8" t="s">
        <v>16</v>
      </c>
      <c r="B112" s="14">
        <v>133690</v>
      </c>
    </row>
    <row r="113" spans="1:2" x14ac:dyDescent="0.25">
      <c r="A113" s="8" t="s">
        <v>18</v>
      </c>
      <c r="B113" s="14">
        <v>100400</v>
      </c>
    </row>
    <row r="114" spans="1:2" x14ac:dyDescent="0.25">
      <c r="A114" s="8" t="s">
        <v>14</v>
      </c>
      <c r="B114" s="14">
        <v>97280</v>
      </c>
    </row>
    <row r="115" spans="1:2" x14ac:dyDescent="0.25">
      <c r="A115" s="8" t="s">
        <v>25</v>
      </c>
      <c r="B115" s="14">
        <v>331370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About</vt:lpstr>
      <vt:lpstr>salesman</vt:lpstr>
      <vt:lpstr>Products</vt:lpstr>
      <vt:lpstr>Pivot</vt:lpstr>
      <vt:lpstr>Data</vt:lpstr>
      <vt:lpstr>DASHBOARD</vt:lpstr>
      <vt:lpstr>PRODUCTSS</vt:lpstr>
      <vt:lpstr>SALESMANn</vt:lpstr>
      <vt:lpstr>ABOUTt</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Reeyan  Poudyal</cp:lastModifiedBy>
  <dcterms:created xsi:type="dcterms:W3CDTF">2021-11-30T04:15:57Z</dcterms:created>
  <dcterms:modified xsi:type="dcterms:W3CDTF">2025-12-09T03:37:05Z</dcterms:modified>
</cp:coreProperties>
</file>